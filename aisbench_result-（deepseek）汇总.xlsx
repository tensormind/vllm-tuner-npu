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2\小巧灵\教科研\中科院AI4S\信息中心测试\"/>
    </mc:Choice>
  </mc:AlternateContent>
  <xr:revisionPtr revIDLastSave="0" documentId="13_ncr:1_{0AE9817B-BDD0-4254-9F3E-31EB48E519FD}" xr6:coauthVersionLast="47" xr6:coauthVersionMax="47" xr10:uidLastSave="{00000000-0000-0000-0000-000000000000}"/>
  <bookViews>
    <workbookView xWindow="-98" yWindow="-98" windowWidth="28996" windowHeight="18676" xr2:uid="{00000000-000D-0000-FFFF-FFFF00000000}"/>
  </bookViews>
  <sheets>
    <sheet name="DS（1P1D）" sheetId="2" r:id="rId1"/>
    <sheet name="DS 混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/>
  <c r="X25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X2" i="1"/>
  <c r="W2" i="1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9" i="2"/>
  <c r="X59" i="2"/>
  <c r="W60" i="2"/>
  <c r="X60" i="2"/>
  <c r="W61" i="2"/>
  <c r="X61" i="2"/>
  <c r="W62" i="2"/>
  <c r="X62" i="2"/>
  <c r="W63" i="2"/>
  <c r="X63" i="2"/>
  <c r="W3" i="2"/>
  <c r="X3" i="2"/>
  <c r="W4" i="2"/>
  <c r="X4" i="2"/>
  <c r="W5" i="2"/>
  <c r="X5" i="2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X2" i="2"/>
  <c r="W2" i="2"/>
</calcChain>
</file>

<file path=xl/sharedStrings.xml><?xml version="1.0" encoding="utf-8"?>
<sst xmlns="http://schemas.openxmlformats.org/spreadsheetml/2006/main" count="135" uniqueCount="30">
  <si>
    <t>current_time</t>
  </si>
  <si>
    <t>input_len</t>
  </si>
  <si>
    <t>output_len</t>
  </si>
  <si>
    <t>total_req</t>
  </si>
  <si>
    <t>max_cc</t>
  </si>
  <si>
    <t>cc</t>
  </si>
  <si>
    <t>rr</t>
  </si>
  <si>
    <t>TTFT avg</t>
  </si>
  <si>
    <t>TTFT P90</t>
  </si>
  <si>
    <t>TPOT avg</t>
  </si>
  <si>
    <t>TPOT SLO_P90</t>
  </si>
  <si>
    <t>E2E_time</t>
  </si>
  <si>
    <t>output_throughput</t>
  </si>
  <si>
    <t>single_output_throughput</t>
  </si>
  <si>
    <t>E2E_throughput</t>
  </si>
  <si>
    <t>single_E2E_throughput</t>
  </si>
  <si>
    <t>qps</t>
  </si>
  <si>
    <t>qpm</t>
  </si>
  <si>
    <t>input_token_throughput</t>
  </si>
  <si>
    <t>prefill_token_throughput</t>
  </si>
  <si>
    <t>E2EL avg</t>
  </si>
  <si>
    <t>E2EL P90</t>
  </si>
  <si>
    <t>单卡输出吞吐</t>
    <phoneticPr fontId="18" type="noConversion"/>
  </si>
  <si>
    <t>单卡吞吐</t>
    <phoneticPr fontId="18" type="noConversion"/>
  </si>
  <si>
    <t>备注</t>
    <phoneticPr fontId="18" type="noConversion"/>
  </si>
  <si>
    <t>1M配置（base），独立命令脚本，99%</t>
    <phoneticPr fontId="18" type="noConversion"/>
  </si>
  <si>
    <t>1M配置（base），单独命令，99%</t>
    <phoneticPr fontId="18" type="noConversion"/>
  </si>
  <si>
    <t>128k配置（base），循环脚本，90%</t>
    <phoneticPr fontId="18" type="noConversion"/>
  </si>
  <si>
    <t>128k配置（base），独立命令行脚本，90%</t>
    <phoneticPr fontId="18" type="noConversion"/>
  </si>
  <si>
    <t>1M配置（base），独立命令行脚本，90%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</si>
</sst>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_);[Red]\(0\)"/>
    <numFmt numFmtId="178" formatCode="0.00_);[Red]\(0.00\)"/>
    <numFmt numFmtId="179" formatCode="0.0_);[Red]\(0.0\)"/>
    <numFmt numFmtId="180" formatCode="0.0000_);[Red]\(0.00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Border="1" applyAlignment="1">
      <alignment vertical="center" wrapText="1"/>
    </xf>
    <xf numFmtId="177" fontId="0" fillId="0" borderId="0" xfId="0" applyNumberFormat="1" applyBorder="1" applyAlignment="1">
      <alignment vertical="center" wrapText="1"/>
    </xf>
    <xf numFmtId="0" fontId="0" fillId="33" borderId="0" xfId="0" applyFill="1" applyBorder="1" applyAlignment="1">
      <alignment vertical="center" wrapText="1"/>
    </xf>
    <xf numFmtId="0" fontId="0" fillId="35" borderId="0" xfId="0" applyFill="1" applyBorder="1" applyAlignment="1">
      <alignment vertical="center" wrapText="1"/>
    </xf>
    <xf numFmtId="0" fontId="0" fillId="0" borderId="0" xfId="0" applyBorder="1">
      <alignment vertical="center"/>
    </xf>
    <xf numFmtId="22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6" fontId="0" fillId="33" borderId="0" xfId="0" applyNumberFormat="1" applyFill="1" applyBorder="1">
      <alignment vertical="center"/>
    </xf>
    <xf numFmtId="0" fontId="0" fillId="35" borderId="0" xfId="0" applyFill="1" applyBorder="1">
      <alignment vertical="center"/>
    </xf>
    <xf numFmtId="22" fontId="0" fillId="34" borderId="0" xfId="0" applyNumberFormat="1" applyFill="1" applyBorder="1">
      <alignment vertical="center"/>
    </xf>
    <xf numFmtId="177" fontId="0" fillId="34" borderId="0" xfId="0" applyNumberFormat="1" applyFill="1" applyBorder="1">
      <alignment vertical="center"/>
    </xf>
    <xf numFmtId="0" fontId="0" fillId="34" borderId="0" xfId="0" applyFill="1" applyBorder="1">
      <alignment vertical="center"/>
    </xf>
    <xf numFmtId="176" fontId="0" fillId="34" borderId="0" xfId="0" applyNumberFormat="1" applyFill="1" applyBorder="1">
      <alignment vertical="center"/>
    </xf>
    <xf numFmtId="177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33" borderId="0" xfId="0" applyFill="1" applyBorder="1">
      <alignment vertical="center"/>
    </xf>
    <xf numFmtId="22" fontId="0" fillId="0" borderId="10" xfId="0" applyNumberFormat="1" applyFill="1" applyBorder="1">
      <alignment vertical="center"/>
    </xf>
    <xf numFmtId="177" fontId="0" fillId="0" borderId="11" xfId="0" applyNumberFormat="1" applyFill="1" applyBorder="1">
      <alignment vertical="center"/>
    </xf>
    <xf numFmtId="0" fontId="0" fillId="0" borderId="11" xfId="0" applyFill="1" applyBorder="1">
      <alignment vertical="center"/>
    </xf>
    <xf numFmtId="176" fontId="0" fillId="0" borderId="11" xfId="0" applyNumberFormat="1" applyFill="1" applyBorder="1">
      <alignment vertical="center"/>
    </xf>
    <xf numFmtId="22" fontId="0" fillId="0" borderId="12" xfId="0" applyNumberFormat="1" applyFill="1" applyBorder="1">
      <alignment vertical="center"/>
    </xf>
    <xf numFmtId="22" fontId="0" fillId="34" borderId="12" xfId="0" applyNumberFormat="1" applyFill="1" applyBorder="1">
      <alignment vertical="center"/>
    </xf>
    <xf numFmtId="22" fontId="0" fillId="0" borderId="13" xfId="0" applyNumberFormat="1" applyFill="1" applyBorder="1">
      <alignment vertical="center"/>
    </xf>
    <xf numFmtId="177" fontId="0" fillId="0" borderId="14" xfId="0" applyNumberFormat="1" applyFill="1" applyBorder="1">
      <alignment vertical="center"/>
    </xf>
    <xf numFmtId="0" fontId="0" fillId="0" borderId="14" xfId="0" applyFill="1" applyBorder="1">
      <alignment vertical="center"/>
    </xf>
    <xf numFmtId="176" fontId="0" fillId="0" borderId="14" xfId="0" applyNumberFormat="1" applyFill="1" applyBorder="1">
      <alignment vertical="center"/>
    </xf>
    <xf numFmtId="22" fontId="0" fillId="34" borderId="10" xfId="0" applyNumberFormat="1" applyFill="1" applyBorder="1">
      <alignment vertical="center"/>
    </xf>
    <xf numFmtId="177" fontId="0" fillId="34" borderId="11" xfId="0" applyNumberFormat="1" applyFill="1" applyBorder="1">
      <alignment vertical="center"/>
    </xf>
    <xf numFmtId="0" fontId="0" fillId="34" borderId="11" xfId="0" applyFill="1" applyBorder="1">
      <alignment vertical="center"/>
    </xf>
    <xf numFmtId="176" fontId="0" fillId="34" borderId="11" xfId="0" applyNumberFormat="1" applyFill="1" applyBorder="1">
      <alignment vertical="center"/>
    </xf>
    <xf numFmtId="22" fontId="0" fillId="0" borderId="12" xfId="0" applyNumberFormat="1" applyBorder="1">
      <alignment vertical="center"/>
    </xf>
    <xf numFmtId="22" fontId="0" fillId="0" borderId="13" xfId="0" applyNumberFormat="1" applyBorder="1">
      <alignment vertical="center"/>
    </xf>
    <xf numFmtId="177" fontId="0" fillId="0" borderId="14" xfId="0" applyNumberFormat="1" applyBorder="1">
      <alignment vertical="center"/>
    </xf>
    <xf numFmtId="0" fontId="0" fillId="0" borderId="14" xfId="0" applyBorder="1">
      <alignment vertical="center"/>
    </xf>
    <xf numFmtId="176" fontId="0" fillId="33" borderId="14" xfId="0" applyNumberFormat="1" applyFill="1" applyBorder="1">
      <alignment vertical="center"/>
    </xf>
    <xf numFmtId="0" fontId="0" fillId="35" borderId="14" xfId="0" applyFill="1" applyBorder="1">
      <alignment vertical="center"/>
    </xf>
    <xf numFmtId="22" fontId="0" fillId="0" borderId="10" xfId="0" applyNumberFormat="1" applyBorder="1">
      <alignment vertical="center"/>
    </xf>
    <xf numFmtId="177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176" fontId="0" fillId="33" borderId="11" xfId="0" applyNumberFormat="1" applyFill="1" applyBorder="1">
      <alignment vertical="center"/>
    </xf>
    <xf numFmtId="0" fontId="0" fillId="35" borderId="11" xfId="0" applyFill="1" applyBorder="1">
      <alignment vertical="center"/>
    </xf>
    <xf numFmtId="178" fontId="0" fillId="0" borderId="0" xfId="0" applyNumberFormat="1" applyBorder="1" applyAlignment="1">
      <alignment horizontal="right" vertical="center" wrapText="1"/>
    </xf>
    <xf numFmtId="178" fontId="0" fillId="0" borderId="0" xfId="0" applyNumberFormat="1" applyBorder="1">
      <alignment vertical="center"/>
    </xf>
    <xf numFmtId="178" fontId="0" fillId="0" borderId="0" xfId="0" applyNumberFormat="1" applyBorder="1" applyAlignment="1">
      <alignment horizontal="right" vertical="center"/>
    </xf>
    <xf numFmtId="178" fontId="0" fillId="0" borderId="0" xfId="0" applyNumberFormat="1" applyFill="1" applyBorder="1" applyAlignment="1">
      <alignment horizontal="right" vertical="center"/>
    </xf>
    <xf numFmtId="178" fontId="0" fillId="34" borderId="0" xfId="0" applyNumberFormat="1" applyFill="1" applyBorder="1">
      <alignment vertical="center"/>
    </xf>
    <xf numFmtId="178" fontId="0" fillId="34" borderId="0" xfId="0" applyNumberFormat="1" applyFill="1" applyBorder="1" applyAlignment="1">
      <alignment horizontal="right" vertical="center"/>
    </xf>
    <xf numFmtId="178" fontId="0" fillId="0" borderId="11" xfId="0" applyNumberFormat="1" applyBorder="1">
      <alignment vertical="center"/>
    </xf>
    <xf numFmtId="178" fontId="0" fillId="0" borderId="11" xfId="0" applyNumberFormat="1" applyBorder="1" applyAlignment="1">
      <alignment horizontal="right" vertical="center"/>
    </xf>
    <xf numFmtId="178" fontId="0" fillId="0" borderId="11" xfId="0" applyNumberFormat="1" applyFill="1" applyBorder="1" applyAlignment="1">
      <alignment horizontal="right" vertical="center"/>
    </xf>
    <xf numFmtId="178" fontId="0" fillId="0" borderId="14" xfId="0" applyNumberFormat="1" applyBorder="1">
      <alignment vertical="center"/>
    </xf>
    <xf numFmtId="178" fontId="0" fillId="0" borderId="14" xfId="0" applyNumberFormat="1" applyBorder="1" applyAlignment="1">
      <alignment horizontal="right" vertical="center"/>
    </xf>
    <xf numFmtId="178" fontId="0" fillId="0" borderId="14" xfId="0" applyNumberFormat="1" applyFill="1" applyBorder="1" applyAlignment="1">
      <alignment horizontal="right" vertical="center"/>
    </xf>
    <xf numFmtId="178" fontId="0" fillId="34" borderId="11" xfId="0" applyNumberFormat="1" applyFill="1" applyBorder="1" applyAlignment="1">
      <alignment horizontal="right" vertical="center"/>
    </xf>
    <xf numFmtId="179" fontId="0" fillId="0" borderId="0" xfId="0" applyNumberFormat="1" applyBorder="1">
      <alignment vertical="center"/>
    </xf>
    <xf numFmtId="179" fontId="0" fillId="34" borderId="0" xfId="0" applyNumberFormat="1" applyFill="1" applyBorder="1">
      <alignment vertical="center"/>
    </xf>
    <xf numFmtId="179" fontId="0" fillId="0" borderId="11" xfId="0" applyNumberFormat="1" applyBorder="1">
      <alignment vertical="center"/>
    </xf>
    <xf numFmtId="179" fontId="0" fillId="0" borderId="14" xfId="0" applyNumberFormat="1" applyBorder="1">
      <alignment vertical="center"/>
    </xf>
    <xf numFmtId="180" fontId="0" fillId="0" borderId="0" xfId="0" applyNumberFormat="1" applyBorder="1" applyAlignment="1">
      <alignment vertical="center" wrapText="1"/>
    </xf>
    <xf numFmtId="180" fontId="0" fillId="0" borderId="0" xfId="0" applyNumberFormat="1" applyBorder="1">
      <alignment vertical="center"/>
    </xf>
    <xf numFmtId="180" fontId="0" fillId="34" borderId="0" xfId="0" applyNumberFormat="1" applyFill="1" applyBorder="1">
      <alignment vertical="center"/>
    </xf>
    <xf numFmtId="180" fontId="0" fillId="0" borderId="11" xfId="0" applyNumberFormat="1" applyBorder="1">
      <alignment vertical="center"/>
    </xf>
    <xf numFmtId="180" fontId="0" fillId="0" borderId="14" xfId="0" applyNumberFormat="1" applyBorder="1">
      <alignment vertical="center"/>
    </xf>
    <xf numFmtId="180" fontId="0" fillId="0" borderId="11" xfId="0" applyNumberFormat="1" applyFill="1" applyBorder="1">
      <alignment vertical="center"/>
    </xf>
    <xf numFmtId="180" fontId="0" fillId="0" borderId="0" xfId="0" applyNumberFormat="1" applyFill="1" applyBorder="1">
      <alignment vertical="center"/>
    </xf>
    <xf numFmtId="180" fontId="0" fillId="0" borderId="14" xfId="0" applyNumberFormat="1" applyFill="1" applyBorder="1">
      <alignment vertical="center"/>
    </xf>
    <xf numFmtId="180" fontId="0" fillId="34" borderId="11" xfId="0" applyNumberFormat="1" applyFill="1" applyBorder="1">
      <alignment vertical="center"/>
    </xf>
    <xf numFmtId="179" fontId="0" fillId="0" borderId="0" xfId="0" applyNumberFormat="1" applyBorder="1" applyAlignment="1">
      <alignment horizontal="right" vertical="center" wrapText="1"/>
    </xf>
    <xf numFmtId="179" fontId="0" fillId="0" borderId="0" xfId="0" applyNumberFormat="1" applyFill="1" applyBorder="1" applyAlignment="1">
      <alignment horizontal="right" vertical="center" wrapText="1"/>
    </xf>
    <xf numFmtId="179" fontId="0" fillId="0" borderId="0" xfId="0" applyNumberFormat="1" applyBorder="1" applyAlignment="1">
      <alignment horizontal="right" vertical="center"/>
    </xf>
    <xf numFmtId="179" fontId="0" fillId="0" borderId="0" xfId="0" applyNumberFormat="1" applyFill="1" applyBorder="1" applyAlignment="1">
      <alignment horizontal="right" vertical="center"/>
    </xf>
    <xf numFmtId="179" fontId="0" fillId="34" borderId="0" xfId="0" applyNumberFormat="1" applyFill="1" applyBorder="1" applyAlignment="1">
      <alignment horizontal="right" vertical="center"/>
    </xf>
    <xf numFmtId="179" fontId="0" fillId="0" borderId="11" xfId="0" applyNumberFormat="1" applyBorder="1" applyAlignment="1">
      <alignment horizontal="right" vertical="center"/>
    </xf>
    <xf numFmtId="179" fontId="0" fillId="0" borderId="11" xfId="0" applyNumberFormat="1" applyFill="1" applyBorder="1" applyAlignment="1">
      <alignment horizontal="right" vertical="center"/>
    </xf>
    <xf numFmtId="179" fontId="0" fillId="0" borderId="14" xfId="0" applyNumberFormat="1" applyBorder="1" applyAlignment="1">
      <alignment horizontal="right" vertical="center"/>
    </xf>
    <xf numFmtId="179" fontId="0" fillId="0" borderId="14" xfId="0" applyNumberFormat="1" applyFill="1" applyBorder="1" applyAlignment="1">
      <alignment horizontal="right" vertical="center"/>
    </xf>
    <xf numFmtId="179" fontId="0" fillId="34" borderId="11" xfId="0" applyNumberFormat="1" applyFill="1" applyBorder="1" applyAlignment="1">
      <alignment horizontal="right" vertical="center"/>
    </xf>
    <xf numFmtId="22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2326-9434-482C-A5FD-EDA504195049}">
  <dimension ref="A1:Y63"/>
  <sheetViews>
    <sheetView tabSelected="1" zoomScale="115" zoomScaleNormal="115" workbookViewId="0">
      <pane ySplit="1" topLeftCell="A2" activePane="bottomLeft" state="frozen"/>
      <selection pane="bottomLeft" activeCell="C2" sqref="C2"/>
    </sheetView>
  </sheetViews>
  <sheetFormatPr defaultColWidth="9" defaultRowHeight="13.9" x14ac:dyDescent="0.4"/>
  <cols>
    <col min="1" max="1" width="15.3984375" style="6" bestFit="1" customWidth="1"/>
    <col min="2" max="2" width="11.46484375" style="8" bestFit="1" customWidth="1"/>
    <col min="3" max="5" width="9" style="6"/>
    <col min="6" max="6" width="9.3984375" style="62" bestFit="1" customWidth="1"/>
    <col min="7" max="7" width="9" style="8"/>
    <col min="8" max="8" width="10.46484375" style="72" bestFit="1" customWidth="1"/>
    <col min="9" max="9" width="10.3984375" style="72" bestFit="1" customWidth="1"/>
    <col min="10" max="14" width="9.1328125" style="72" bestFit="1" customWidth="1"/>
    <col min="15" max="15" width="10.3984375" style="73" bestFit="1" customWidth="1"/>
    <col min="16" max="16" width="10.3984375" style="72" bestFit="1" customWidth="1"/>
    <col min="17" max="18" width="9.1328125" style="46" bestFit="1" customWidth="1"/>
    <col min="19" max="19" width="10.3984375" style="46" bestFit="1" customWidth="1"/>
    <col min="20" max="20" width="9.3984375" style="46" bestFit="1" customWidth="1"/>
    <col min="21" max="22" width="10.3984375" style="46" bestFit="1" customWidth="1"/>
    <col min="23" max="24" width="9" style="18"/>
    <col min="25" max="25" width="34.59765625" style="10" customWidth="1"/>
    <col min="26" max="16384" width="9" style="6"/>
  </cols>
  <sheetData>
    <row r="1" spans="1:25" ht="41.65" x14ac:dyDescent="0.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61" t="s">
        <v>5</v>
      </c>
      <c r="G1" s="3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1" t="s">
        <v>14</v>
      </c>
      <c r="P1" s="70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" t="s">
        <v>22</v>
      </c>
      <c r="X1" s="4" t="s">
        <v>23</v>
      </c>
      <c r="Y1" s="5" t="s">
        <v>24</v>
      </c>
    </row>
    <row r="2" spans="1:25" x14ac:dyDescent="0.4">
      <c r="A2" s="7">
        <v>46253.783483796295</v>
      </c>
      <c r="B2" s="8">
        <v>8196.2000000000007</v>
      </c>
      <c r="C2" s="6">
        <v>1024</v>
      </c>
      <c r="D2" s="6">
        <v>10</v>
      </c>
      <c r="E2" s="6">
        <v>1</v>
      </c>
      <c r="F2" s="62">
        <v>0.99990000000000001</v>
      </c>
      <c r="G2" s="8">
        <v>5</v>
      </c>
      <c r="H2" s="72">
        <v>1735.9</v>
      </c>
      <c r="I2" s="72">
        <v>1997.9</v>
      </c>
      <c r="J2" s="72">
        <v>10.6</v>
      </c>
      <c r="K2" s="72">
        <v>12.1</v>
      </c>
      <c r="L2" s="72">
        <v>125.8103192</v>
      </c>
      <c r="M2" s="72">
        <v>81.392399999999995</v>
      </c>
      <c r="N2" s="72">
        <v>81.392399999999995</v>
      </c>
      <c r="O2" s="73">
        <v>732.86519999999996</v>
      </c>
      <c r="P2" s="72">
        <v>732.86519999999996</v>
      </c>
      <c r="Q2" s="46">
        <v>7.9500000000000001E-2</v>
      </c>
      <c r="R2" s="46">
        <v>4.7699999999999996</v>
      </c>
      <c r="S2" s="46">
        <v>651.47280000000001</v>
      </c>
      <c r="T2" s="46">
        <v>4721.5316000000003</v>
      </c>
      <c r="U2" s="46">
        <v>12579.7</v>
      </c>
      <c r="V2" s="46">
        <v>14306.8</v>
      </c>
      <c r="W2" s="9">
        <f t="shared" ref="W2:W40" si="0">M2/16</f>
        <v>5.0870249999999997</v>
      </c>
      <c r="X2" s="9">
        <f t="shared" ref="X2:X40" si="1">O2/16</f>
        <v>45.804074999999997</v>
      </c>
      <c r="Y2" s="10" t="s">
        <v>27</v>
      </c>
    </row>
    <row r="3" spans="1:25" x14ac:dyDescent="0.4">
      <c r="A3" s="7">
        <v>46253.786435185182</v>
      </c>
      <c r="B3" s="8">
        <v>8196.1</v>
      </c>
      <c r="C3" s="6">
        <v>1024</v>
      </c>
      <c r="D3" s="6">
        <v>20</v>
      </c>
      <c r="E3" s="6">
        <v>2</v>
      </c>
      <c r="F3" s="62">
        <v>1.9407000000000001</v>
      </c>
      <c r="G3" s="8">
        <v>5</v>
      </c>
      <c r="H3" s="72">
        <v>1802.4</v>
      </c>
      <c r="I3" s="72">
        <v>2145.9</v>
      </c>
      <c r="J3" s="72">
        <v>11.7</v>
      </c>
      <c r="K3" s="72">
        <v>14.1</v>
      </c>
      <c r="L3" s="72">
        <v>142.2746827</v>
      </c>
      <c r="M3" s="72">
        <v>143.9469</v>
      </c>
      <c r="N3" s="72">
        <v>143.9469</v>
      </c>
      <c r="O3" s="73">
        <v>1296.0985000000001</v>
      </c>
      <c r="P3" s="72">
        <v>1296.0985000000001</v>
      </c>
      <c r="Q3" s="46">
        <v>0.1406</v>
      </c>
      <c r="R3" s="46">
        <v>8.4359999999999999</v>
      </c>
      <c r="S3" s="46">
        <v>1152.1515999999999</v>
      </c>
      <c r="T3" s="46">
        <v>4547.2713000000003</v>
      </c>
      <c r="U3" s="46">
        <v>13805.9</v>
      </c>
      <c r="V3" s="46">
        <v>16101.1</v>
      </c>
      <c r="W3" s="9">
        <f t="shared" si="0"/>
        <v>8.99668125</v>
      </c>
      <c r="X3" s="9">
        <f t="shared" si="1"/>
        <v>81.006156250000004</v>
      </c>
      <c r="Y3" s="10" t="s">
        <v>27</v>
      </c>
    </row>
    <row r="4" spans="1:25" x14ac:dyDescent="0.4">
      <c r="A4" s="7">
        <v>46253.789456018516</v>
      </c>
      <c r="B4" s="8">
        <v>8196.0750000000007</v>
      </c>
      <c r="C4" s="6">
        <v>1024</v>
      </c>
      <c r="D4" s="6">
        <v>40</v>
      </c>
      <c r="E4" s="6">
        <v>4</v>
      </c>
      <c r="F4" s="62">
        <v>3.8603000000000001</v>
      </c>
      <c r="G4" s="8">
        <v>5</v>
      </c>
      <c r="H4" s="72">
        <v>1935.7</v>
      </c>
      <c r="I4" s="72">
        <v>2227.3000000000002</v>
      </c>
      <c r="J4" s="72">
        <v>11.8</v>
      </c>
      <c r="K4" s="72">
        <v>13.9</v>
      </c>
      <c r="L4" s="72">
        <v>144.9871948</v>
      </c>
      <c r="M4" s="72">
        <v>282.5077</v>
      </c>
      <c r="N4" s="72">
        <v>282.5077</v>
      </c>
      <c r="O4" s="73">
        <v>2543.6936000000001</v>
      </c>
      <c r="P4" s="72">
        <v>2543.6936000000001</v>
      </c>
      <c r="Q4" s="46">
        <v>0.27589999999999998</v>
      </c>
      <c r="R4" s="46">
        <v>16.553999999999998</v>
      </c>
      <c r="S4" s="46">
        <v>2261.1858999999999</v>
      </c>
      <c r="T4" s="46">
        <v>4234.1352999999999</v>
      </c>
      <c r="U4" s="46">
        <v>13992.3</v>
      </c>
      <c r="V4" s="46">
        <v>16040</v>
      </c>
      <c r="W4" s="9">
        <f t="shared" si="0"/>
        <v>17.65673125</v>
      </c>
      <c r="X4" s="9">
        <f t="shared" si="1"/>
        <v>158.98085</v>
      </c>
      <c r="Y4" s="10" t="s">
        <v>27</v>
      </c>
    </row>
    <row r="5" spans="1:25" x14ac:dyDescent="0.4">
      <c r="A5" s="7">
        <v>46253.792453703703</v>
      </c>
      <c r="B5" s="8">
        <v>8196.0625</v>
      </c>
      <c r="C5" s="6">
        <v>1024</v>
      </c>
      <c r="D5" s="6">
        <v>80</v>
      </c>
      <c r="E5" s="6">
        <v>8</v>
      </c>
      <c r="F5" s="62">
        <v>7.7283999999999997</v>
      </c>
      <c r="G5" s="8">
        <v>5</v>
      </c>
      <c r="H5" s="72">
        <v>2167.5</v>
      </c>
      <c r="I5" s="72">
        <v>2895.7</v>
      </c>
      <c r="J5" s="72">
        <v>11.5</v>
      </c>
      <c r="K5" s="72">
        <v>13.6</v>
      </c>
      <c r="L5" s="72">
        <v>144.2520576</v>
      </c>
      <c r="M5" s="72">
        <v>567.89480000000003</v>
      </c>
      <c r="N5" s="72">
        <v>567.89480000000003</v>
      </c>
      <c r="O5" s="73">
        <v>5113.3065999999999</v>
      </c>
      <c r="P5" s="72">
        <v>5113.3065999999999</v>
      </c>
      <c r="Q5" s="46">
        <v>0.55459999999999998</v>
      </c>
      <c r="R5" s="46">
        <v>33.276000000000003</v>
      </c>
      <c r="S5" s="46">
        <v>4545.4117999999999</v>
      </c>
      <c r="T5" s="46">
        <v>3781.2743</v>
      </c>
      <c r="U5" s="46">
        <v>13935.6</v>
      </c>
      <c r="V5" s="46">
        <v>18270.099999999999</v>
      </c>
      <c r="W5" s="9">
        <f t="shared" si="0"/>
        <v>35.493425000000002</v>
      </c>
      <c r="X5" s="9">
        <f t="shared" si="1"/>
        <v>319.58166249999999</v>
      </c>
      <c r="Y5" s="10" t="s">
        <v>27</v>
      </c>
    </row>
    <row r="6" spans="1:25" x14ac:dyDescent="0.4">
      <c r="A6" s="7">
        <v>46253.795682870368</v>
      </c>
      <c r="B6" s="8">
        <v>8196.0311999999994</v>
      </c>
      <c r="C6" s="6">
        <v>1024</v>
      </c>
      <c r="D6" s="6">
        <v>160</v>
      </c>
      <c r="E6" s="6">
        <v>16</v>
      </c>
      <c r="F6" s="62">
        <v>15.217499999999999</v>
      </c>
      <c r="G6" s="8">
        <v>5</v>
      </c>
      <c r="H6" s="72">
        <v>2196.1999999999998</v>
      </c>
      <c r="I6" s="72">
        <v>3490.7</v>
      </c>
      <c r="J6" s="72">
        <v>13</v>
      </c>
      <c r="K6" s="72">
        <v>14.2</v>
      </c>
      <c r="L6" s="72">
        <v>163.0343</v>
      </c>
      <c r="M6" s="72">
        <v>1004.9419</v>
      </c>
      <c r="N6" s="72">
        <v>1004.9419</v>
      </c>
      <c r="O6" s="73">
        <v>9048.4333999999999</v>
      </c>
      <c r="P6" s="72">
        <v>9048.4333999999999</v>
      </c>
      <c r="Q6" s="46">
        <v>0.98140000000000005</v>
      </c>
      <c r="R6" s="46">
        <v>58.884</v>
      </c>
      <c r="S6" s="46">
        <v>8043.4915000000001</v>
      </c>
      <c r="T6" s="46">
        <v>3731.9755</v>
      </c>
      <c r="U6" s="46">
        <v>15506.1</v>
      </c>
      <c r="V6" s="46">
        <v>18299.599999999999</v>
      </c>
      <c r="W6" s="9">
        <f t="shared" si="0"/>
        <v>62.808868750000002</v>
      </c>
      <c r="X6" s="9">
        <f t="shared" si="1"/>
        <v>565.52708749999999</v>
      </c>
      <c r="Y6" s="10" t="s">
        <v>27</v>
      </c>
    </row>
    <row r="7" spans="1:25" x14ac:dyDescent="0.4">
      <c r="A7" s="7">
        <v>46253.799409722225</v>
      </c>
      <c r="B7" s="8">
        <v>8196.0468999999994</v>
      </c>
      <c r="C7" s="6">
        <v>1024</v>
      </c>
      <c r="D7" s="6">
        <v>320</v>
      </c>
      <c r="E7" s="6">
        <v>32</v>
      </c>
      <c r="F7" s="62">
        <v>29.7986</v>
      </c>
      <c r="G7" s="8">
        <v>5</v>
      </c>
      <c r="H7" s="72">
        <v>3029.1</v>
      </c>
      <c r="I7" s="72">
        <v>4679.8</v>
      </c>
      <c r="J7" s="72">
        <v>15.7</v>
      </c>
      <c r="K7" s="72">
        <v>19.399999999999999</v>
      </c>
      <c r="L7" s="72">
        <v>205.4636447</v>
      </c>
      <c r="M7" s="72">
        <v>1594.8320000000001</v>
      </c>
      <c r="N7" s="72">
        <v>1594.8320000000001</v>
      </c>
      <c r="O7" s="73">
        <v>14359.790999999999</v>
      </c>
      <c r="P7" s="72">
        <v>14359.790999999999</v>
      </c>
      <c r="Q7" s="46">
        <v>1.5575000000000001</v>
      </c>
      <c r="R7" s="46">
        <v>93.45</v>
      </c>
      <c r="S7" s="46">
        <v>12764.959000000001</v>
      </c>
      <c r="T7" s="46">
        <v>2705.7719999999999</v>
      </c>
      <c r="U7" s="46">
        <v>19132.900000000001</v>
      </c>
      <c r="V7" s="46">
        <v>22407.3</v>
      </c>
      <c r="W7" s="9">
        <f t="shared" si="0"/>
        <v>99.677000000000007</v>
      </c>
      <c r="X7" s="9">
        <f t="shared" si="1"/>
        <v>897.48693749999995</v>
      </c>
      <c r="Y7" s="10" t="s">
        <v>27</v>
      </c>
    </row>
    <row r="8" spans="1:25" s="13" customFormat="1" x14ac:dyDescent="0.4">
      <c r="A8" s="11">
        <v>46253.803842592592</v>
      </c>
      <c r="B8" s="12">
        <v>8196.0687999999991</v>
      </c>
      <c r="C8" s="13">
        <v>1024</v>
      </c>
      <c r="D8" s="13">
        <v>640</v>
      </c>
      <c r="E8" s="13">
        <v>64</v>
      </c>
      <c r="F8" s="63">
        <v>59.539200000000001</v>
      </c>
      <c r="G8" s="12">
        <v>5</v>
      </c>
      <c r="H8" s="74">
        <v>4332.1000000000004</v>
      </c>
      <c r="I8" s="74">
        <v>5918.2</v>
      </c>
      <c r="J8" s="74">
        <v>19.7</v>
      </c>
      <c r="K8" s="74">
        <v>24</v>
      </c>
      <c r="L8" s="74">
        <v>263.018531</v>
      </c>
      <c r="M8" s="74">
        <v>2491.6876000000002</v>
      </c>
      <c r="N8" s="74">
        <v>2491.6876000000002</v>
      </c>
      <c r="O8" s="74">
        <v>22435.088400000001</v>
      </c>
      <c r="P8" s="74">
        <v>22435.088400000001</v>
      </c>
      <c r="Q8" s="49">
        <v>2.4333</v>
      </c>
      <c r="R8" s="49">
        <v>145.99799999999999</v>
      </c>
      <c r="S8" s="49">
        <v>19943.400900000001</v>
      </c>
      <c r="T8" s="49">
        <v>1891.9459999999999</v>
      </c>
      <c r="U8" s="49">
        <v>24468.6</v>
      </c>
      <c r="V8" s="49">
        <v>29823.8</v>
      </c>
      <c r="W8" s="14">
        <f t="shared" si="0"/>
        <v>155.73047500000001</v>
      </c>
      <c r="X8" s="14">
        <f t="shared" si="1"/>
        <v>1402.193025</v>
      </c>
      <c r="Y8" s="13" t="s">
        <v>27</v>
      </c>
    </row>
    <row r="9" spans="1:25" s="13" customFormat="1" x14ac:dyDescent="0.4">
      <c r="A9" s="11">
        <v>46253.809305555558</v>
      </c>
      <c r="B9" s="12">
        <v>8196.0530999999992</v>
      </c>
      <c r="C9" s="13">
        <v>1024</v>
      </c>
      <c r="D9" s="13">
        <v>1280</v>
      </c>
      <c r="E9" s="13">
        <v>128</v>
      </c>
      <c r="F9" s="63">
        <v>115.46720000000001</v>
      </c>
      <c r="G9" s="12">
        <v>5</v>
      </c>
      <c r="H9" s="74">
        <v>9426.1</v>
      </c>
      <c r="I9" s="74">
        <v>11478.9</v>
      </c>
      <c r="J9" s="74">
        <v>21.4</v>
      </c>
      <c r="K9" s="74">
        <v>24.1</v>
      </c>
      <c r="L9" s="74">
        <v>347.52526560000001</v>
      </c>
      <c r="M9" s="74">
        <v>3771.5819000000001</v>
      </c>
      <c r="N9" s="74">
        <v>3771.5819000000001</v>
      </c>
      <c r="O9" s="74">
        <v>33959.165500000003</v>
      </c>
      <c r="P9" s="74">
        <v>33959.165500000003</v>
      </c>
      <c r="Q9" s="49">
        <v>3.6831999999999998</v>
      </c>
      <c r="R9" s="49">
        <v>220.99199999999999</v>
      </c>
      <c r="S9" s="49">
        <v>30187.583600000002</v>
      </c>
      <c r="T9" s="49">
        <v>869.50409999999999</v>
      </c>
      <c r="U9" s="49">
        <v>31349.8</v>
      </c>
      <c r="V9" s="49">
        <v>34810.5</v>
      </c>
      <c r="W9" s="14">
        <f t="shared" si="0"/>
        <v>235.72386875000001</v>
      </c>
      <c r="X9" s="14">
        <f t="shared" si="1"/>
        <v>2122.4478437500002</v>
      </c>
      <c r="Y9" s="13" t="s">
        <v>27</v>
      </c>
    </row>
    <row r="10" spans="1:25" ht="14.25" thickBot="1" x14ac:dyDescent="0.45">
      <c r="A10" s="7">
        <v>46253.818796296298</v>
      </c>
      <c r="B10" s="8">
        <v>8196.0555000000004</v>
      </c>
      <c r="C10" s="6">
        <v>1024</v>
      </c>
      <c r="D10" s="6">
        <v>2560</v>
      </c>
      <c r="E10" s="6">
        <v>256</v>
      </c>
      <c r="F10" s="62">
        <v>225.089</v>
      </c>
      <c r="G10" s="8">
        <v>5</v>
      </c>
      <c r="H10" s="72">
        <v>38367.199999999997</v>
      </c>
      <c r="I10" s="72">
        <v>43956.2</v>
      </c>
      <c r="J10" s="72">
        <v>21.2</v>
      </c>
      <c r="K10" s="72">
        <v>24.8</v>
      </c>
      <c r="L10" s="72">
        <v>682.64614219999999</v>
      </c>
      <c r="M10" s="72">
        <v>3840.1154999999999</v>
      </c>
      <c r="N10" s="72">
        <v>3840.1154999999999</v>
      </c>
      <c r="O10" s="73">
        <v>34576.247499999998</v>
      </c>
      <c r="P10" s="72">
        <v>34576.247499999998</v>
      </c>
      <c r="Q10" s="46">
        <v>3.7501000000000002</v>
      </c>
      <c r="R10" s="46">
        <v>225.006</v>
      </c>
      <c r="S10" s="46">
        <v>30736.132099999999</v>
      </c>
      <c r="T10" s="46">
        <v>213.6217</v>
      </c>
      <c r="U10" s="46">
        <v>60021.9</v>
      </c>
      <c r="V10" s="46">
        <v>67944.7</v>
      </c>
      <c r="W10" s="9">
        <f t="shared" si="0"/>
        <v>240.00721874999999</v>
      </c>
      <c r="X10" s="9">
        <f t="shared" si="1"/>
        <v>2161.0154687499999</v>
      </c>
      <c r="Y10" s="10" t="s">
        <v>27</v>
      </c>
    </row>
    <row r="11" spans="1:25" s="41" customFormat="1" x14ac:dyDescent="0.4">
      <c r="A11" s="39">
        <v>46253.821631944447</v>
      </c>
      <c r="B11" s="40">
        <v>16388.2</v>
      </c>
      <c r="C11" s="41">
        <v>1024</v>
      </c>
      <c r="D11" s="41">
        <v>10</v>
      </c>
      <c r="E11" s="41">
        <v>1</v>
      </c>
      <c r="F11" s="64">
        <v>0.99990000000000001</v>
      </c>
      <c r="G11" s="40">
        <v>5</v>
      </c>
      <c r="H11" s="75">
        <v>2084.1999999999998</v>
      </c>
      <c r="I11" s="75">
        <v>2208.6</v>
      </c>
      <c r="J11" s="75">
        <v>10.5</v>
      </c>
      <c r="K11" s="75">
        <v>13.1</v>
      </c>
      <c r="L11" s="75">
        <v>128.15331019999999</v>
      </c>
      <c r="M11" s="75">
        <v>79.904300000000006</v>
      </c>
      <c r="N11" s="75">
        <v>79.904300000000006</v>
      </c>
      <c r="O11" s="76">
        <v>1358.7008000000001</v>
      </c>
      <c r="P11" s="75">
        <v>1358.7008000000001</v>
      </c>
      <c r="Q11" s="51">
        <v>7.8E-2</v>
      </c>
      <c r="R11" s="51">
        <v>4.68</v>
      </c>
      <c r="S11" s="51">
        <v>1278.7964999999999</v>
      </c>
      <c r="T11" s="51">
        <v>7863.1427000000003</v>
      </c>
      <c r="U11" s="51">
        <v>12813.6</v>
      </c>
      <c r="V11" s="51">
        <v>16044.2</v>
      </c>
      <c r="W11" s="42">
        <f t="shared" si="0"/>
        <v>4.9940187500000004</v>
      </c>
      <c r="X11" s="42">
        <f t="shared" si="1"/>
        <v>84.918800000000005</v>
      </c>
      <c r="Y11" s="43" t="s">
        <v>27</v>
      </c>
    </row>
    <row r="12" spans="1:25" x14ac:dyDescent="0.4">
      <c r="A12" s="33">
        <v>46253.824490740742</v>
      </c>
      <c r="B12" s="8">
        <v>16388.099999999999</v>
      </c>
      <c r="C12" s="6">
        <v>1024</v>
      </c>
      <c r="D12" s="6">
        <v>20</v>
      </c>
      <c r="E12" s="6">
        <v>2</v>
      </c>
      <c r="F12" s="62">
        <v>1.9340999999999999</v>
      </c>
      <c r="G12" s="8">
        <v>5</v>
      </c>
      <c r="H12" s="72">
        <v>2014.7</v>
      </c>
      <c r="I12" s="72">
        <v>2259.9</v>
      </c>
      <c r="J12" s="72">
        <v>10.3</v>
      </c>
      <c r="K12" s="72">
        <v>12.9</v>
      </c>
      <c r="L12" s="72">
        <v>130.23203620000001</v>
      </c>
      <c r="M12" s="72">
        <v>157.2578</v>
      </c>
      <c r="N12" s="72">
        <v>157.2578</v>
      </c>
      <c r="O12" s="73">
        <v>2674.0118000000002</v>
      </c>
      <c r="P12" s="72">
        <v>2674.0118000000002</v>
      </c>
      <c r="Q12" s="46">
        <v>0.15359999999999999</v>
      </c>
      <c r="R12" s="46">
        <v>9.2159999999999993</v>
      </c>
      <c r="S12" s="46">
        <v>2516.7539999999999</v>
      </c>
      <c r="T12" s="46">
        <v>8134.4539999999997</v>
      </c>
      <c r="U12" s="46">
        <v>12594.2</v>
      </c>
      <c r="V12" s="46">
        <v>15126.3</v>
      </c>
      <c r="W12" s="9">
        <f t="shared" si="0"/>
        <v>9.8286125000000002</v>
      </c>
      <c r="X12" s="9">
        <f t="shared" si="1"/>
        <v>167.12573750000001</v>
      </c>
      <c r="Y12" s="10" t="s">
        <v>27</v>
      </c>
    </row>
    <row r="13" spans="1:25" x14ac:dyDescent="0.4">
      <c r="A13" s="33">
        <v>46253.827511574076</v>
      </c>
      <c r="B13" s="8">
        <v>16388.075000000001</v>
      </c>
      <c r="C13" s="6">
        <v>1024</v>
      </c>
      <c r="D13" s="6">
        <v>40</v>
      </c>
      <c r="E13" s="6">
        <v>4</v>
      </c>
      <c r="F13" s="62">
        <v>3.8003999999999998</v>
      </c>
      <c r="G13" s="8">
        <v>5</v>
      </c>
      <c r="H13" s="72">
        <v>2109.5</v>
      </c>
      <c r="I13" s="72">
        <v>2406.5</v>
      </c>
      <c r="J13" s="72">
        <v>11.4</v>
      </c>
      <c r="K13" s="72">
        <v>14.7</v>
      </c>
      <c r="L13" s="72">
        <v>145.42690379999999</v>
      </c>
      <c r="M13" s="72">
        <v>281.65350000000001</v>
      </c>
      <c r="N13" s="72">
        <v>281.65350000000001</v>
      </c>
      <c r="O13" s="73">
        <v>4789.2308000000003</v>
      </c>
      <c r="P13" s="72">
        <v>4789.2308000000003</v>
      </c>
      <c r="Q13" s="46">
        <v>0.27510000000000001</v>
      </c>
      <c r="R13" s="46">
        <v>16.506</v>
      </c>
      <c r="S13" s="46">
        <v>4507.5771999999997</v>
      </c>
      <c r="T13" s="46">
        <v>7768.5583999999999</v>
      </c>
      <c r="U13" s="46">
        <v>13816.9</v>
      </c>
      <c r="V13" s="46">
        <v>16793.2</v>
      </c>
      <c r="W13" s="9">
        <f t="shared" si="0"/>
        <v>17.603343750000001</v>
      </c>
      <c r="X13" s="9">
        <f t="shared" si="1"/>
        <v>299.32692500000002</v>
      </c>
      <c r="Y13" s="10" t="s">
        <v>27</v>
      </c>
    </row>
    <row r="14" spans="1:25" x14ac:dyDescent="0.4">
      <c r="A14" s="33">
        <v>46253.830729166664</v>
      </c>
      <c r="B14" s="8">
        <v>16388.037499999999</v>
      </c>
      <c r="C14" s="6">
        <v>1024</v>
      </c>
      <c r="D14" s="6">
        <v>80</v>
      </c>
      <c r="E14" s="6">
        <v>8</v>
      </c>
      <c r="F14" s="62">
        <v>7.2828999999999997</v>
      </c>
      <c r="G14" s="8">
        <v>5</v>
      </c>
      <c r="H14" s="72">
        <v>2237.3000000000002</v>
      </c>
      <c r="I14" s="72">
        <v>2770.4</v>
      </c>
      <c r="J14" s="72">
        <v>12.1</v>
      </c>
      <c r="K14" s="72">
        <v>16</v>
      </c>
      <c r="L14" s="72">
        <v>160.77090939999999</v>
      </c>
      <c r="M14" s="72">
        <v>509.54489999999998</v>
      </c>
      <c r="N14" s="72">
        <v>509.54489999999998</v>
      </c>
      <c r="O14" s="73">
        <v>8664.2726999999995</v>
      </c>
      <c r="P14" s="72">
        <v>8664.2726999999995</v>
      </c>
      <c r="Q14" s="46">
        <v>0.49759999999999999</v>
      </c>
      <c r="R14" s="46">
        <v>29.856000000000002</v>
      </c>
      <c r="S14" s="46">
        <v>8154.7277999999997</v>
      </c>
      <c r="T14" s="46">
        <v>7324.9409999999998</v>
      </c>
      <c r="U14" s="46">
        <v>14636</v>
      </c>
      <c r="V14" s="46">
        <v>18795.2</v>
      </c>
      <c r="W14" s="9">
        <f t="shared" si="0"/>
        <v>31.846556249999999</v>
      </c>
      <c r="X14" s="9">
        <f t="shared" si="1"/>
        <v>541.51704374999997</v>
      </c>
      <c r="Y14" s="10" t="s">
        <v>27</v>
      </c>
    </row>
    <row r="15" spans="1:25" x14ac:dyDescent="0.4">
      <c r="A15" s="33">
        <v>46253.834085648145</v>
      </c>
      <c r="B15" s="8">
        <v>16388.037499999999</v>
      </c>
      <c r="C15" s="6">
        <v>1024</v>
      </c>
      <c r="D15" s="6">
        <v>160</v>
      </c>
      <c r="E15" s="6">
        <v>16</v>
      </c>
      <c r="F15" s="62">
        <v>15.216200000000001</v>
      </c>
      <c r="G15" s="8">
        <v>5</v>
      </c>
      <c r="H15" s="72">
        <v>2367.1</v>
      </c>
      <c r="I15" s="72">
        <v>3962.1</v>
      </c>
      <c r="J15" s="72">
        <v>13.6</v>
      </c>
      <c r="K15" s="72">
        <v>15.7</v>
      </c>
      <c r="L15" s="72">
        <v>171.6397819</v>
      </c>
      <c r="M15" s="72">
        <v>954.55730000000005</v>
      </c>
      <c r="N15" s="72">
        <v>954.55730000000005</v>
      </c>
      <c r="O15" s="73">
        <v>16231.2371</v>
      </c>
      <c r="P15" s="72">
        <v>16231.2371</v>
      </c>
      <c r="Q15" s="46">
        <v>0.93220000000000003</v>
      </c>
      <c r="R15" s="46">
        <v>55.932000000000002</v>
      </c>
      <c r="S15" s="46">
        <v>15276.679899999999</v>
      </c>
      <c r="T15" s="46">
        <v>6923.2987999999996</v>
      </c>
      <c r="U15" s="46">
        <v>16323.1</v>
      </c>
      <c r="V15" s="46">
        <v>18920.599999999999</v>
      </c>
      <c r="W15" s="9">
        <f t="shared" si="0"/>
        <v>59.659831250000003</v>
      </c>
      <c r="X15" s="9">
        <f t="shared" si="1"/>
        <v>1014.45231875</v>
      </c>
      <c r="Y15" s="10" t="s">
        <v>27</v>
      </c>
    </row>
    <row r="16" spans="1:25" x14ac:dyDescent="0.4">
      <c r="A16" s="33">
        <v>46253.838043981479</v>
      </c>
      <c r="B16" s="8">
        <v>16388.043799999999</v>
      </c>
      <c r="C16" s="6">
        <v>1024</v>
      </c>
      <c r="D16" s="6">
        <v>320</v>
      </c>
      <c r="E16" s="6">
        <v>32</v>
      </c>
      <c r="F16" s="62">
        <v>29.049700000000001</v>
      </c>
      <c r="G16" s="8">
        <v>5</v>
      </c>
      <c r="H16" s="72">
        <v>2796.5</v>
      </c>
      <c r="I16" s="72">
        <v>4319</v>
      </c>
      <c r="J16" s="72">
        <v>17.100000000000001</v>
      </c>
      <c r="K16" s="72">
        <v>24.8</v>
      </c>
      <c r="L16" s="72">
        <v>223.62491850000001</v>
      </c>
      <c r="M16" s="72">
        <v>1465.3108</v>
      </c>
      <c r="N16" s="72">
        <v>1465.3108</v>
      </c>
      <c r="O16" s="73">
        <v>24916.0694</v>
      </c>
      <c r="P16" s="72">
        <v>24916.0694</v>
      </c>
      <c r="Q16" s="46">
        <v>1.431</v>
      </c>
      <c r="R16" s="46">
        <v>85.86</v>
      </c>
      <c r="S16" s="46">
        <v>23450.758699999998</v>
      </c>
      <c r="T16" s="46">
        <v>5860.1558999999997</v>
      </c>
      <c r="U16" s="46">
        <v>20300.7</v>
      </c>
      <c r="V16" s="46">
        <v>27855.5</v>
      </c>
      <c r="W16" s="9">
        <f t="shared" si="0"/>
        <v>91.581924999999998</v>
      </c>
      <c r="X16" s="9">
        <f t="shared" si="1"/>
        <v>1557.2543375</v>
      </c>
      <c r="Y16" s="10" t="s">
        <v>27</v>
      </c>
    </row>
    <row r="17" spans="1:25" s="13" customFormat="1" x14ac:dyDescent="0.4">
      <c r="A17" s="24">
        <v>46253.842523148145</v>
      </c>
      <c r="B17" s="12">
        <v>16387.960899999998</v>
      </c>
      <c r="C17" s="13">
        <v>1024</v>
      </c>
      <c r="D17" s="13">
        <v>640</v>
      </c>
      <c r="E17" s="13">
        <v>64</v>
      </c>
      <c r="F17" s="63">
        <v>59.565300000000001</v>
      </c>
      <c r="G17" s="12">
        <v>5</v>
      </c>
      <c r="H17" s="74">
        <v>4398.8</v>
      </c>
      <c r="I17" s="74">
        <v>5736.2</v>
      </c>
      <c r="J17" s="74">
        <v>19.600000000000001</v>
      </c>
      <c r="K17" s="74">
        <v>23.3</v>
      </c>
      <c r="L17" s="74">
        <v>262.76648419999998</v>
      </c>
      <c r="M17" s="74">
        <v>2494.0776000000001</v>
      </c>
      <c r="N17" s="74">
        <v>2494.0776000000001</v>
      </c>
      <c r="O17" s="74">
        <v>42408.966399999998</v>
      </c>
      <c r="P17" s="74">
        <v>42408.966399999998</v>
      </c>
      <c r="Q17" s="49">
        <v>2.4356</v>
      </c>
      <c r="R17" s="49">
        <v>146.136</v>
      </c>
      <c r="S17" s="49">
        <v>39914.888800000001</v>
      </c>
      <c r="T17" s="49">
        <v>3725.5630000000001</v>
      </c>
      <c r="U17" s="49">
        <v>24455.9</v>
      </c>
      <c r="V17" s="49">
        <v>28609.5</v>
      </c>
      <c r="W17" s="14">
        <f t="shared" si="0"/>
        <v>155.87985</v>
      </c>
      <c r="X17" s="14">
        <f t="shared" si="1"/>
        <v>2650.5603999999998</v>
      </c>
      <c r="Y17" s="13" t="s">
        <v>27</v>
      </c>
    </row>
    <row r="18" spans="1:25" s="13" customFormat="1" x14ac:dyDescent="0.4">
      <c r="A18" s="24">
        <v>46253.848067129627</v>
      </c>
      <c r="B18" s="12">
        <v>16388.053100000001</v>
      </c>
      <c r="C18" s="13">
        <v>1024</v>
      </c>
      <c r="D18" s="13">
        <v>1280</v>
      </c>
      <c r="E18" s="13">
        <v>128</v>
      </c>
      <c r="F18" s="63">
        <v>117.6369</v>
      </c>
      <c r="G18" s="12">
        <v>5</v>
      </c>
      <c r="H18" s="74">
        <v>7365.5</v>
      </c>
      <c r="I18" s="74">
        <v>9217.1</v>
      </c>
      <c r="J18" s="74">
        <v>23.8</v>
      </c>
      <c r="K18" s="74">
        <v>27.8</v>
      </c>
      <c r="L18" s="74">
        <v>345.2924003</v>
      </c>
      <c r="M18" s="74">
        <v>3795.9712</v>
      </c>
      <c r="N18" s="74">
        <v>3795.9712</v>
      </c>
      <c r="O18" s="74">
        <v>64546.535000000003</v>
      </c>
      <c r="P18" s="74">
        <v>64546.535000000003</v>
      </c>
      <c r="Q18" s="49">
        <v>3.7069999999999999</v>
      </c>
      <c r="R18" s="49">
        <v>222.42</v>
      </c>
      <c r="S18" s="49">
        <v>60750.563800000004</v>
      </c>
      <c r="T18" s="49">
        <v>2224.9856</v>
      </c>
      <c r="U18" s="49">
        <v>31733.7</v>
      </c>
      <c r="V18" s="49">
        <v>36137.599999999999</v>
      </c>
      <c r="W18" s="14">
        <f t="shared" si="0"/>
        <v>237.2482</v>
      </c>
      <c r="X18" s="14">
        <f t="shared" si="1"/>
        <v>4034.1584375000002</v>
      </c>
      <c r="Y18" s="13" t="s">
        <v>27</v>
      </c>
    </row>
    <row r="19" spans="1:25" s="36" customFormat="1" ht="14.25" thickBot="1" x14ac:dyDescent="0.45">
      <c r="A19" s="34">
        <v>46253.857812499999</v>
      </c>
      <c r="B19" s="35">
        <v>16388.0461</v>
      </c>
      <c r="C19" s="36">
        <v>1024</v>
      </c>
      <c r="D19" s="36">
        <v>2560</v>
      </c>
      <c r="E19" s="36">
        <v>256</v>
      </c>
      <c r="F19" s="65">
        <v>224.2508</v>
      </c>
      <c r="G19" s="35">
        <v>5</v>
      </c>
      <c r="H19" s="77">
        <v>36856.9</v>
      </c>
      <c r="I19" s="77">
        <v>42559.5</v>
      </c>
      <c r="J19" s="77">
        <v>23.2</v>
      </c>
      <c r="K19" s="77">
        <v>27.2</v>
      </c>
      <c r="L19" s="77">
        <v>692.04270340000005</v>
      </c>
      <c r="M19" s="77">
        <v>3787.9742999999999</v>
      </c>
      <c r="N19" s="77">
        <v>3787.9742999999999</v>
      </c>
      <c r="O19" s="78">
        <v>64410.531000000003</v>
      </c>
      <c r="P19" s="77">
        <v>64410.531000000003</v>
      </c>
      <c r="Q19" s="54">
        <v>3.6991999999999998</v>
      </c>
      <c r="R19" s="54">
        <v>221.952</v>
      </c>
      <c r="S19" s="54">
        <v>60622.556700000001</v>
      </c>
      <c r="T19" s="54">
        <v>444.63959999999997</v>
      </c>
      <c r="U19" s="54">
        <v>60621.5</v>
      </c>
      <c r="V19" s="54">
        <v>68713.7</v>
      </c>
      <c r="W19" s="37">
        <f t="shared" si="0"/>
        <v>236.74839374999999</v>
      </c>
      <c r="X19" s="37">
        <f t="shared" si="1"/>
        <v>4025.6581875000002</v>
      </c>
      <c r="Y19" s="38" t="s">
        <v>27</v>
      </c>
    </row>
    <row r="20" spans="1:25" s="41" customFormat="1" x14ac:dyDescent="0.4">
      <c r="A20" s="39">
        <v>46253.860798611109</v>
      </c>
      <c r="B20" s="40">
        <v>32772.199999999997</v>
      </c>
      <c r="C20" s="41">
        <v>1024</v>
      </c>
      <c r="D20" s="41">
        <v>10</v>
      </c>
      <c r="E20" s="41">
        <v>1</v>
      </c>
      <c r="F20" s="64">
        <v>0.99980000000000002</v>
      </c>
      <c r="G20" s="40">
        <v>5</v>
      </c>
      <c r="H20" s="75">
        <v>3126.6</v>
      </c>
      <c r="I20" s="75">
        <v>3185.3</v>
      </c>
      <c r="J20" s="75">
        <v>9.8000000000000007</v>
      </c>
      <c r="K20" s="75">
        <v>11.4</v>
      </c>
      <c r="L20" s="75">
        <v>131.04529829999899</v>
      </c>
      <c r="M20" s="75">
        <v>78.140900000000002</v>
      </c>
      <c r="N20" s="75">
        <v>78.140900000000002</v>
      </c>
      <c r="O20" s="76">
        <v>2578.9708000000001</v>
      </c>
      <c r="P20" s="75">
        <v>2578.9708000000001</v>
      </c>
      <c r="Q20" s="51">
        <v>7.6300000000000007E-2</v>
      </c>
      <c r="R20" s="51">
        <v>4.5780000000000003</v>
      </c>
      <c r="S20" s="51">
        <v>2500.8299000000002</v>
      </c>
      <c r="T20" s="51">
        <v>10481.834699999999</v>
      </c>
      <c r="U20" s="51">
        <v>13102.2</v>
      </c>
      <c r="V20" s="51">
        <v>14648.4</v>
      </c>
      <c r="W20" s="42">
        <f t="shared" si="0"/>
        <v>4.8838062500000001</v>
      </c>
      <c r="X20" s="42">
        <f t="shared" si="1"/>
        <v>161.185675</v>
      </c>
      <c r="Y20" s="43" t="s">
        <v>27</v>
      </c>
    </row>
    <row r="21" spans="1:25" x14ac:dyDescent="0.4">
      <c r="A21" s="33">
        <v>46253.86383101852</v>
      </c>
      <c r="B21" s="8">
        <v>32772.1</v>
      </c>
      <c r="C21" s="6">
        <v>1024</v>
      </c>
      <c r="D21" s="6">
        <v>20</v>
      </c>
      <c r="E21" s="6">
        <v>2</v>
      </c>
      <c r="F21" s="62">
        <v>1.9725999999999999</v>
      </c>
      <c r="G21" s="8">
        <v>5</v>
      </c>
      <c r="H21" s="72">
        <v>2337.6999999999998</v>
      </c>
      <c r="I21" s="72">
        <v>2582.1999999999998</v>
      </c>
      <c r="J21" s="72">
        <v>10.6</v>
      </c>
      <c r="K21" s="72">
        <v>11.9</v>
      </c>
      <c r="L21" s="72">
        <v>133.88598709999999</v>
      </c>
      <c r="M21" s="72">
        <v>152.96600000000001</v>
      </c>
      <c r="N21" s="72">
        <v>152.96600000000001</v>
      </c>
      <c r="O21" s="73">
        <v>5048.4894999999997</v>
      </c>
      <c r="P21" s="72">
        <v>5048.4894999999997</v>
      </c>
      <c r="Q21" s="46">
        <v>0.14940000000000001</v>
      </c>
      <c r="R21" s="46">
        <v>8.9640000000000004</v>
      </c>
      <c r="S21" s="46">
        <v>4895.5235000000002</v>
      </c>
      <c r="T21" s="46">
        <v>14018.845499999999</v>
      </c>
      <c r="U21" s="46">
        <v>13205.3</v>
      </c>
      <c r="V21" s="46">
        <v>14644.1</v>
      </c>
      <c r="W21" s="9">
        <f t="shared" si="0"/>
        <v>9.5603750000000005</v>
      </c>
      <c r="X21" s="9">
        <f t="shared" si="1"/>
        <v>315.53059374999998</v>
      </c>
      <c r="Y21" s="10" t="s">
        <v>27</v>
      </c>
    </row>
    <row r="22" spans="1:25" x14ac:dyDescent="0.4">
      <c r="A22" s="33">
        <v>46253.867106481484</v>
      </c>
      <c r="B22" s="8">
        <v>32772.074999999997</v>
      </c>
      <c r="C22" s="6">
        <v>1024</v>
      </c>
      <c r="D22" s="6">
        <v>40</v>
      </c>
      <c r="E22" s="6">
        <v>4</v>
      </c>
      <c r="F22" s="62">
        <v>3.7153999999999998</v>
      </c>
      <c r="G22" s="8">
        <v>5</v>
      </c>
      <c r="H22" s="72">
        <v>2805</v>
      </c>
      <c r="I22" s="72">
        <v>3179.8</v>
      </c>
      <c r="J22" s="72">
        <v>11.4</v>
      </c>
      <c r="K22" s="72">
        <v>13.2</v>
      </c>
      <c r="L22" s="72">
        <v>155.6439652</v>
      </c>
      <c r="M22" s="72">
        <v>263.16469999999998</v>
      </c>
      <c r="N22" s="72">
        <v>263.16469999999998</v>
      </c>
      <c r="O22" s="73">
        <v>8685.4829000000009</v>
      </c>
      <c r="P22" s="72">
        <v>8685.4829000000009</v>
      </c>
      <c r="Q22" s="46">
        <v>0.25700000000000001</v>
      </c>
      <c r="R22" s="46">
        <v>15.42</v>
      </c>
      <c r="S22" s="46">
        <v>8422.3181999999997</v>
      </c>
      <c r="T22" s="46">
        <v>11683.308000000001</v>
      </c>
      <c r="U22" s="46">
        <v>14457</v>
      </c>
      <c r="V22" s="46">
        <v>16289.7</v>
      </c>
      <c r="W22" s="9">
        <f t="shared" si="0"/>
        <v>16.447793749999999</v>
      </c>
      <c r="X22" s="9">
        <f t="shared" si="1"/>
        <v>542.84268125000006</v>
      </c>
      <c r="Y22" s="10" t="s">
        <v>27</v>
      </c>
    </row>
    <row r="23" spans="1:25" x14ac:dyDescent="0.4">
      <c r="A23" s="33">
        <v>46253.870474537034</v>
      </c>
      <c r="B23" s="8">
        <v>32772.037499999999</v>
      </c>
      <c r="C23" s="6">
        <v>1024</v>
      </c>
      <c r="D23" s="6">
        <v>80</v>
      </c>
      <c r="E23" s="6">
        <v>8</v>
      </c>
      <c r="F23" s="62">
        <v>7.4311999999999996</v>
      </c>
      <c r="G23" s="8">
        <v>5</v>
      </c>
      <c r="H23" s="72">
        <v>2879.4</v>
      </c>
      <c r="I23" s="72">
        <v>3426.1</v>
      </c>
      <c r="J23" s="72">
        <v>11.8</v>
      </c>
      <c r="K23" s="72">
        <v>14.5</v>
      </c>
      <c r="L23" s="72">
        <v>161.27883159999999</v>
      </c>
      <c r="M23" s="72">
        <v>507.9402</v>
      </c>
      <c r="N23" s="72">
        <v>507.9402</v>
      </c>
      <c r="O23" s="73">
        <v>16764.028900000001</v>
      </c>
      <c r="P23" s="72">
        <v>16764.028900000001</v>
      </c>
      <c r="Q23" s="46">
        <v>0.496</v>
      </c>
      <c r="R23" s="46">
        <v>29.76</v>
      </c>
      <c r="S23" s="46">
        <v>16256.0887</v>
      </c>
      <c r="T23" s="46">
        <v>11381.58</v>
      </c>
      <c r="U23" s="46">
        <v>14981.2</v>
      </c>
      <c r="V23" s="46">
        <v>17241.7</v>
      </c>
      <c r="W23" s="9">
        <f t="shared" si="0"/>
        <v>31.7462625</v>
      </c>
      <c r="X23" s="9">
        <f t="shared" si="1"/>
        <v>1047.7518062500001</v>
      </c>
      <c r="Y23" s="10" t="s">
        <v>27</v>
      </c>
    </row>
    <row r="24" spans="1:25" x14ac:dyDescent="0.4">
      <c r="A24" s="33">
        <v>46253.87400462963</v>
      </c>
      <c r="B24" s="8">
        <v>32772.025000000001</v>
      </c>
      <c r="C24" s="6">
        <v>1024</v>
      </c>
      <c r="D24" s="6">
        <v>160</v>
      </c>
      <c r="E24" s="6">
        <v>16</v>
      </c>
      <c r="F24" s="62">
        <v>15.2186</v>
      </c>
      <c r="G24" s="8">
        <v>5</v>
      </c>
      <c r="H24" s="72">
        <v>2800.9</v>
      </c>
      <c r="I24" s="72">
        <v>3958.4</v>
      </c>
      <c r="J24" s="72">
        <v>13.4</v>
      </c>
      <c r="K24" s="72">
        <v>15.9</v>
      </c>
      <c r="L24" s="72">
        <v>173.68605779999999</v>
      </c>
      <c r="M24" s="72">
        <v>943.31119999999999</v>
      </c>
      <c r="N24" s="72">
        <v>943.31119999999999</v>
      </c>
      <c r="O24" s="73">
        <v>31132.9768</v>
      </c>
      <c r="P24" s="72">
        <v>31132.9768</v>
      </c>
      <c r="Q24" s="46">
        <v>0.92120000000000002</v>
      </c>
      <c r="R24" s="46">
        <v>55.271999999999998</v>
      </c>
      <c r="S24" s="46">
        <v>30189.6656</v>
      </c>
      <c r="T24" s="46">
        <v>11700.557000000001</v>
      </c>
      <c r="U24" s="46">
        <v>16520.400000000001</v>
      </c>
      <c r="V24" s="46">
        <v>19291.2</v>
      </c>
      <c r="W24" s="9">
        <f t="shared" si="0"/>
        <v>58.956949999999999</v>
      </c>
      <c r="X24" s="9">
        <f t="shared" si="1"/>
        <v>1945.81105</v>
      </c>
      <c r="Y24" s="10" t="s">
        <v>27</v>
      </c>
    </row>
    <row r="25" spans="1:25" x14ac:dyDescent="0.4">
      <c r="A25" s="33">
        <v>46253.878171296295</v>
      </c>
      <c r="B25" s="8">
        <v>32772.046900000001</v>
      </c>
      <c r="C25" s="6">
        <v>1024</v>
      </c>
      <c r="D25" s="6">
        <v>320</v>
      </c>
      <c r="E25" s="6">
        <v>32</v>
      </c>
      <c r="F25" s="62">
        <v>29.135999999999999</v>
      </c>
      <c r="G25" s="8">
        <v>5</v>
      </c>
      <c r="H25" s="72">
        <v>3943.2</v>
      </c>
      <c r="I25" s="72">
        <v>5490.1</v>
      </c>
      <c r="J25" s="72">
        <v>16.2</v>
      </c>
      <c r="K25" s="72">
        <v>19.7</v>
      </c>
      <c r="L25" s="72">
        <v>225.69996420000001</v>
      </c>
      <c r="M25" s="72">
        <v>1451.8389999999999</v>
      </c>
      <c r="N25" s="72">
        <v>1451.8389999999999</v>
      </c>
      <c r="O25" s="73">
        <v>47916.423199999997</v>
      </c>
      <c r="P25" s="72">
        <v>47916.423199999997</v>
      </c>
      <c r="Q25" s="46">
        <v>1.4177999999999999</v>
      </c>
      <c r="R25" s="46">
        <v>85.067999999999998</v>
      </c>
      <c r="S25" s="46">
        <v>46464.584199999998</v>
      </c>
      <c r="T25" s="46">
        <v>8311.0871000000006</v>
      </c>
      <c r="U25" s="46">
        <v>20550</v>
      </c>
      <c r="V25" s="46">
        <v>25490.3</v>
      </c>
      <c r="W25" s="9">
        <f t="shared" si="0"/>
        <v>90.739937499999996</v>
      </c>
      <c r="X25" s="9">
        <f t="shared" si="1"/>
        <v>2994.7764499999998</v>
      </c>
      <c r="Y25" s="10" t="s">
        <v>27</v>
      </c>
    </row>
    <row r="26" spans="1:25" s="13" customFormat="1" x14ac:dyDescent="0.4">
      <c r="A26" s="24">
        <v>46253.883067129631</v>
      </c>
      <c r="B26" s="12">
        <v>32772.068700000003</v>
      </c>
      <c r="C26" s="13">
        <v>1024</v>
      </c>
      <c r="D26" s="13">
        <v>640</v>
      </c>
      <c r="E26" s="13">
        <v>64</v>
      </c>
      <c r="F26" s="63">
        <v>58.176299999999998</v>
      </c>
      <c r="G26" s="12">
        <v>5</v>
      </c>
      <c r="H26" s="74">
        <v>5379.1</v>
      </c>
      <c r="I26" s="74">
        <v>6750.8</v>
      </c>
      <c r="J26" s="74">
        <v>19.899999999999999</v>
      </c>
      <c r="K26" s="74">
        <v>22.9</v>
      </c>
      <c r="L26" s="74">
        <v>282.63479330000001</v>
      </c>
      <c r="M26" s="74">
        <v>2318.752</v>
      </c>
      <c r="N26" s="74">
        <v>2318.752</v>
      </c>
      <c r="O26" s="74">
        <v>76528.030199999994</v>
      </c>
      <c r="P26" s="74">
        <v>76528.030199999994</v>
      </c>
      <c r="Q26" s="49">
        <v>2.2644000000000002</v>
      </c>
      <c r="R26" s="49">
        <v>135.864</v>
      </c>
      <c r="S26" s="49">
        <v>74209.278200000001</v>
      </c>
      <c r="T26" s="49">
        <v>6092.5153</v>
      </c>
      <c r="U26" s="49">
        <v>25691.599999999999</v>
      </c>
      <c r="V26" s="49">
        <v>30084.9</v>
      </c>
      <c r="W26" s="14">
        <f t="shared" si="0"/>
        <v>144.922</v>
      </c>
      <c r="X26" s="14">
        <f t="shared" si="1"/>
        <v>4783.0018874999996</v>
      </c>
      <c r="Y26" s="13" t="s">
        <v>27</v>
      </c>
    </row>
    <row r="27" spans="1:25" s="13" customFormat="1" x14ac:dyDescent="0.4">
      <c r="A27" s="24">
        <v>46253.889050925929</v>
      </c>
      <c r="B27" s="12">
        <v>32772.059399999998</v>
      </c>
      <c r="C27" s="13">
        <v>1024</v>
      </c>
      <c r="D27" s="13">
        <v>1280</v>
      </c>
      <c r="E27" s="13">
        <v>128</v>
      </c>
      <c r="F27" s="63">
        <v>116.8947</v>
      </c>
      <c r="G27" s="12">
        <v>5</v>
      </c>
      <c r="H27" s="74">
        <v>7226.5</v>
      </c>
      <c r="I27" s="74">
        <v>9981.2999999999993</v>
      </c>
      <c r="J27" s="74">
        <v>25.2</v>
      </c>
      <c r="K27" s="74">
        <v>29.8</v>
      </c>
      <c r="L27" s="74">
        <v>361.35489109999997</v>
      </c>
      <c r="M27" s="74">
        <v>3627.2375000000002</v>
      </c>
      <c r="N27" s="74">
        <v>3627.2375000000002</v>
      </c>
      <c r="O27" s="74">
        <v>119713.2156</v>
      </c>
      <c r="P27" s="74">
        <v>119713.2156</v>
      </c>
      <c r="Q27" s="49">
        <v>3.5421999999999998</v>
      </c>
      <c r="R27" s="49">
        <v>212.53200000000001</v>
      </c>
      <c r="S27" s="49">
        <v>116085.9782</v>
      </c>
      <c r="T27" s="49">
        <v>4534.9778999999999</v>
      </c>
      <c r="U27" s="49">
        <v>33000.400000000001</v>
      </c>
      <c r="V27" s="49">
        <v>39275.5</v>
      </c>
      <c r="W27" s="14">
        <f t="shared" si="0"/>
        <v>226.70234375000001</v>
      </c>
      <c r="X27" s="14">
        <f t="shared" si="1"/>
        <v>7482.0759749999997</v>
      </c>
      <c r="Y27" s="13" t="s">
        <v>27</v>
      </c>
    </row>
    <row r="28" spans="1:25" s="36" customFormat="1" ht="14.25" thickBot="1" x14ac:dyDescent="0.45">
      <c r="A28" s="34">
        <v>46253.899363425924</v>
      </c>
      <c r="B28" s="35">
        <v>32772.062899999997</v>
      </c>
      <c r="C28" s="36">
        <v>1024</v>
      </c>
      <c r="D28" s="36">
        <v>2560</v>
      </c>
      <c r="E28" s="36">
        <v>256</v>
      </c>
      <c r="F28" s="65">
        <v>229.0437</v>
      </c>
      <c r="G28" s="35">
        <v>5</v>
      </c>
      <c r="H28" s="77">
        <v>38234.300000000003</v>
      </c>
      <c r="I28" s="77">
        <v>42979.4</v>
      </c>
      <c r="J28" s="77">
        <v>24.3</v>
      </c>
      <c r="K28" s="77">
        <v>27</v>
      </c>
      <c r="L28" s="77">
        <v>705.12130090000005</v>
      </c>
      <c r="M28" s="77">
        <v>3717.7148999999999</v>
      </c>
      <c r="N28" s="77">
        <v>3717.7148999999999</v>
      </c>
      <c r="O28" s="78">
        <v>122699.34390000001</v>
      </c>
      <c r="P28" s="77">
        <v>122699.34390000001</v>
      </c>
      <c r="Q28" s="54">
        <v>3.6305999999999998</v>
      </c>
      <c r="R28" s="54">
        <v>217.83600000000001</v>
      </c>
      <c r="S28" s="54">
        <v>118981.629</v>
      </c>
      <c r="T28" s="54">
        <v>857.13789999999995</v>
      </c>
      <c r="U28" s="54">
        <v>63087.3</v>
      </c>
      <c r="V28" s="54">
        <v>69317.8</v>
      </c>
      <c r="W28" s="37">
        <f t="shared" si="0"/>
        <v>232.35718125</v>
      </c>
      <c r="X28" s="37">
        <f t="shared" si="1"/>
        <v>7668.7089937500004</v>
      </c>
      <c r="Y28" s="38" t="s">
        <v>27</v>
      </c>
    </row>
    <row r="29" spans="1:25" s="41" customFormat="1" x14ac:dyDescent="0.4">
      <c r="A29" s="39">
        <v>46254.489976851852</v>
      </c>
      <c r="B29" s="40">
        <v>65540.074999999997</v>
      </c>
      <c r="C29" s="41">
        <v>1024</v>
      </c>
      <c r="D29" s="41">
        <v>40</v>
      </c>
      <c r="E29" s="41">
        <v>4</v>
      </c>
      <c r="F29" s="64">
        <v>3.8319999999999999</v>
      </c>
      <c r="G29" s="40">
        <v>5</v>
      </c>
      <c r="H29" s="59">
        <v>5893.9</v>
      </c>
      <c r="I29" s="59">
        <v>5563</v>
      </c>
      <c r="J29" s="59">
        <v>11.6</v>
      </c>
      <c r="K29" s="59">
        <v>13.8</v>
      </c>
      <c r="L29" s="59">
        <v>185.17116809999999</v>
      </c>
      <c r="M29" s="59">
        <v>221.20070000000001</v>
      </c>
      <c r="N29" s="59">
        <v>221.20070000000001</v>
      </c>
      <c r="O29" s="59">
        <v>14378.928599999999</v>
      </c>
      <c r="P29" s="59">
        <v>14378.928599999999</v>
      </c>
      <c r="Q29" s="50">
        <v>0.216</v>
      </c>
      <c r="R29" s="50">
        <v>12.96</v>
      </c>
      <c r="S29" s="50">
        <v>14157.727800000001</v>
      </c>
      <c r="T29" s="50">
        <v>11119.922200000001</v>
      </c>
      <c r="U29" s="50">
        <v>17739.400000000001</v>
      </c>
      <c r="V29" s="50">
        <v>18686</v>
      </c>
      <c r="W29" s="42">
        <f t="shared" ref="W29:W35" si="2">M29/16</f>
        <v>13.825043750000001</v>
      </c>
      <c r="X29" s="42">
        <f t="shared" ref="X29:X35" si="3">O29/16</f>
        <v>898.68303749999995</v>
      </c>
      <c r="Y29" s="43" t="s">
        <v>27</v>
      </c>
    </row>
    <row r="30" spans="1:25" x14ac:dyDescent="0.4">
      <c r="A30" s="33">
        <v>46254.493981481479</v>
      </c>
      <c r="B30" s="8">
        <v>65540.087499999994</v>
      </c>
      <c r="C30" s="6">
        <v>1024</v>
      </c>
      <c r="D30" s="6">
        <v>80</v>
      </c>
      <c r="E30" s="6">
        <v>8</v>
      </c>
      <c r="F30" s="62">
        <v>7.6970000000000001</v>
      </c>
      <c r="G30" s="8">
        <v>5</v>
      </c>
      <c r="H30" s="57">
        <v>6488.7</v>
      </c>
      <c r="I30" s="57">
        <v>9597.9</v>
      </c>
      <c r="J30" s="57">
        <v>12</v>
      </c>
      <c r="K30" s="57">
        <v>13.7</v>
      </c>
      <c r="L30" s="57">
        <v>194.5042114</v>
      </c>
      <c r="M30" s="57">
        <v>421.17340000000002</v>
      </c>
      <c r="N30" s="57">
        <v>421.17340000000002</v>
      </c>
      <c r="O30" s="57">
        <v>27377.9522</v>
      </c>
      <c r="P30" s="57">
        <v>27377.9522</v>
      </c>
      <c r="Q30" s="45">
        <v>0.4113</v>
      </c>
      <c r="R30" s="45">
        <v>24.678000000000001</v>
      </c>
      <c r="S30" s="45">
        <v>26956.7788</v>
      </c>
      <c r="T30" s="45">
        <v>10100.678900000001</v>
      </c>
      <c r="U30" s="45">
        <v>18713.7</v>
      </c>
      <c r="V30" s="45">
        <v>23241.5</v>
      </c>
      <c r="W30" s="9">
        <f t="shared" si="2"/>
        <v>26.323337500000001</v>
      </c>
      <c r="X30" s="9">
        <f t="shared" si="3"/>
        <v>1711.1220125</v>
      </c>
      <c r="Y30" s="10" t="s">
        <v>27</v>
      </c>
    </row>
    <row r="31" spans="1:25" x14ac:dyDescent="0.4">
      <c r="A31" s="33">
        <v>46254.498287037037</v>
      </c>
      <c r="B31" s="8">
        <v>65540.031199999998</v>
      </c>
      <c r="C31" s="6">
        <v>1024</v>
      </c>
      <c r="D31" s="6">
        <v>160</v>
      </c>
      <c r="E31" s="6">
        <v>16</v>
      </c>
      <c r="F31" s="62">
        <v>15.206099999999999</v>
      </c>
      <c r="G31" s="8">
        <v>5</v>
      </c>
      <c r="H31" s="57">
        <v>7632.6</v>
      </c>
      <c r="I31" s="57">
        <v>11094.4</v>
      </c>
      <c r="J31" s="57">
        <v>12.7</v>
      </c>
      <c r="K31" s="57">
        <v>14.7</v>
      </c>
      <c r="L31" s="57">
        <v>216.54974580000001</v>
      </c>
      <c r="M31" s="57">
        <v>756.59289999999999</v>
      </c>
      <c r="N31" s="57">
        <v>756.59289999999999</v>
      </c>
      <c r="O31" s="57">
        <v>49181.517</v>
      </c>
      <c r="P31" s="57">
        <v>49181.517</v>
      </c>
      <c r="Q31" s="45">
        <v>0.7389</v>
      </c>
      <c r="R31" s="45">
        <v>44.334000000000003</v>
      </c>
      <c r="S31" s="45">
        <v>48424.924099999997</v>
      </c>
      <c r="T31" s="45">
        <v>8586.8418000000001</v>
      </c>
      <c r="U31" s="45">
        <v>20580.5</v>
      </c>
      <c r="V31" s="45">
        <v>25701.3</v>
      </c>
      <c r="W31" s="9">
        <f t="shared" si="2"/>
        <v>47.287056249999999</v>
      </c>
      <c r="X31" s="9">
        <f t="shared" si="3"/>
        <v>3073.8448125</v>
      </c>
      <c r="Y31" s="10" t="s">
        <v>27</v>
      </c>
    </row>
    <row r="32" spans="1:25" s="13" customFormat="1" x14ac:dyDescent="0.4">
      <c r="A32" s="24">
        <v>46254.504502314812</v>
      </c>
      <c r="B32" s="12">
        <v>65540.034400000004</v>
      </c>
      <c r="C32" s="13">
        <v>1024</v>
      </c>
      <c r="D32" s="13">
        <v>320</v>
      </c>
      <c r="E32" s="13">
        <v>32</v>
      </c>
      <c r="F32" s="63">
        <v>30.551300000000001</v>
      </c>
      <c r="G32" s="12">
        <v>5</v>
      </c>
      <c r="H32" s="58">
        <v>21389.5</v>
      </c>
      <c r="I32" s="58">
        <v>26680.799999999999</v>
      </c>
      <c r="J32" s="58">
        <v>14.1</v>
      </c>
      <c r="K32" s="58">
        <v>17</v>
      </c>
      <c r="L32" s="58">
        <v>374.73401960000001</v>
      </c>
      <c r="M32" s="58">
        <v>874.43359999999996</v>
      </c>
      <c r="N32" s="58">
        <v>874.43359999999996</v>
      </c>
      <c r="O32" s="58">
        <v>56841.625999999997</v>
      </c>
      <c r="P32" s="58">
        <v>56841.625999999997</v>
      </c>
      <c r="Q32" s="48">
        <v>0.85389999999999999</v>
      </c>
      <c r="R32" s="48">
        <v>51.234000000000002</v>
      </c>
      <c r="S32" s="48">
        <v>55967.192499999997</v>
      </c>
      <c r="T32" s="48">
        <v>3064.1277</v>
      </c>
      <c r="U32" s="48">
        <v>35776.9</v>
      </c>
      <c r="V32" s="48">
        <v>43919.5</v>
      </c>
      <c r="W32" s="14">
        <f t="shared" si="2"/>
        <v>54.652099999999997</v>
      </c>
      <c r="X32" s="14">
        <f t="shared" si="3"/>
        <v>3552.6016249999998</v>
      </c>
      <c r="Y32" s="13" t="s">
        <v>27</v>
      </c>
    </row>
    <row r="33" spans="1:25" s="13" customFormat="1" x14ac:dyDescent="0.4">
      <c r="A33" s="24">
        <v>46254.51326388889</v>
      </c>
      <c r="B33" s="12">
        <v>65540.068799999994</v>
      </c>
      <c r="C33" s="13">
        <v>1024</v>
      </c>
      <c r="D33" s="13">
        <v>640</v>
      </c>
      <c r="E33" s="13">
        <v>64</v>
      </c>
      <c r="F33" s="63">
        <v>60.234900000000003</v>
      </c>
      <c r="G33" s="12">
        <v>5</v>
      </c>
      <c r="H33" s="58">
        <v>39125.4</v>
      </c>
      <c r="I33" s="58">
        <v>44093.5</v>
      </c>
      <c r="J33" s="58">
        <v>15.3</v>
      </c>
      <c r="K33" s="58">
        <v>17.899999999999999</v>
      </c>
      <c r="L33" s="58">
        <v>581.47423730000003</v>
      </c>
      <c r="M33" s="58">
        <v>1127.0663</v>
      </c>
      <c r="N33" s="58">
        <v>1127.0663</v>
      </c>
      <c r="O33" s="58">
        <v>73263.785900000003</v>
      </c>
      <c r="P33" s="58">
        <v>73263.785900000003</v>
      </c>
      <c r="Q33" s="48">
        <v>1.1007</v>
      </c>
      <c r="R33" s="48">
        <v>66.042000000000002</v>
      </c>
      <c r="S33" s="48">
        <v>72136.719599999997</v>
      </c>
      <c r="T33" s="48">
        <v>1675.1264000000001</v>
      </c>
      <c r="U33" s="48">
        <v>54726.6</v>
      </c>
      <c r="V33" s="48">
        <v>61962.7</v>
      </c>
      <c r="W33" s="14">
        <f t="shared" si="2"/>
        <v>70.441643749999997</v>
      </c>
      <c r="X33" s="14">
        <f t="shared" si="3"/>
        <v>4578.9866187500002</v>
      </c>
      <c r="Y33" s="13" t="s">
        <v>27</v>
      </c>
    </row>
    <row r="34" spans="1:25" x14ac:dyDescent="0.4">
      <c r="A34" s="33">
        <v>46254.528611111113</v>
      </c>
      <c r="B34" s="8">
        <v>65540.105500000005</v>
      </c>
      <c r="C34" s="6">
        <v>1024</v>
      </c>
      <c r="D34" s="6">
        <v>1280</v>
      </c>
      <c r="E34" s="6">
        <v>128</v>
      </c>
      <c r="F34" s="62">
        <v>121.0104</v>
      </c>
      <c r="G34" s="8">
        <v>5</v>
      </c>
      <c r="H34" s="57">
        <v>88592.6</v>
      </c>
      <c r="I34" s="57">
        <v>95591.2</v>
      </c>
      <c r="J34" s="57">
        <v>17.5</v>
      </c>
      <c r="K34" s="57">
        <v>31.1</v>
      </c>
      <c r="L34" s="57">
        <v>1126.8971372999999</v>
      </c>
      <c r="M34" s="57">
        <v>1163.123</v>
      </c>
      <c r="N34" s="57">
        <v>1163.123</v>
      </c>
      <c r="O34" s="57">
        <v>75607.659499999994</v>
      </c>
      <c r="P34" s="57">
        <v>75607.659499999994</v>
      </c>
      <c r="Q34" s="45">
        <v>1.1358999999999999</v>
      </c>
      <c r="R34" s="45">
        <v>68.153999999999996</v>
      </c>
      <c r="S34" s="45">
        <v>74444.536399999997</v>
      </c>
      <c r="T34" s="45">
        <v>739.79219999999998</v>
      </c>
      <c r="U34" s="45">
        <v>106536.1</v>
      </c>
      <c r="V34" s="45">
        <v>122211.4</v>
      </c>
      <c r="W34" s="9">
        <f t="shared" si="2"/>
        <v>72.695187500000003</v>
      </c>
      <c r="X34" s="9">
        <f t="shared" si="3"/>
        <v>4725.4787187499996</v>
      </c>
      <c r="Y34" s="10" t="s">
        <v>27</v>
      </c>
    </row>
    <row r="35" spans="1:25" s="36" customFormat="1" ht="14.25" thickBot="1" x14ac:dyDescent="0.45">
      <c r="A35" s="34">
        <v>46254.547569444447</v>
      </c>
      <c r="B35" s="35">
        <v>65540.046100000007</v>
      </c>
      <c r="C35" s="36">
        <v>1024</v>
      </c>
      <c r="D35" s="36">
        <v>2560</v>
      </c>
      <c r="E35" s="36">
        <v>256</v>
      </c>
      <c r="F35" s="65">
        <v>238.9195</v>
      </c>
      <c r="G35" s="35">
        <v>5</v>
      </c>
      <c r="H35" s="60">
        <v>110373.3</v>
      </c>
      <c r="I35" s="60">
        <v>117845.6</v>
      </c>
      <c r="J35" s="60">
        <v>18.5</v>
      </c>
      <c r="K35" s="60">
        <v>21.3</v>
      </c>
      <c r="L35" s="60">
        <v>1384.9090185</v>
      </c>
      <c r="M35" s="60">
        <v>1892.8607999999999</v>
      </c>
      <c r="N35" s="60">
        <v>1892.8607999999999</v>
      </c>
      <c r="O35" s="60">
        <v>123043.43150000001</v>
      </c>
      <c r="P35" s="60">
        <v>123043.43150000001</v>
      </c>
      <c r="Q35" s="53">
        <v>1.8485</v>
      </c>
      <c r="R35" s="53">
        <v>110.91</v>
      </c>
      <c r="S35" s="53">
        <v>121150.5707</v>
      </c>
      <c r="T35" s="53">
        <v>593.80349999999999</v>
      </c>
      <c r="U35" s="53">
        <v>129250.7</v>
      </c>
      <c r="V35" s="53">
        <v>138338.9</v>
      </c>
      <c r="W35" s="37">
        <f t="shared" si="2"/>
        <v>118.3038</v>
      </c>
      <c r="X35" s="37">
        <f t="shared" si="3"/>
        <v>7690.2144687500004</v>
      </c>
      <c r="Y35" s="38" t="s">
        <v>27</v>
      </c>
    </row>
    <row r="36" spans="1:25" s="21" customFormat="1" x14ac:dyDescent="0.4">
      <c r="A36" s="19">
        <v>46253.904282407406</v>
      </c>
      <c r="B36" s="20">
        <v>131076.20000000001</v>
      </c>
      <c r="C36" s="21">
        <v>1024</v>
      </c>
      <c r="D36" s="21">
        <v>10</v>
      </c>
      <c r="E36" s="21">
        <v>1</v>
      </c>
      <c r="F36" s="66">
        <v>0.99970000000000003</v>
      </c>
      <c r="G36" s="20">
        <v>5</v>
      </c>
      <c r="H36" s="76">
        <v>13191.6</v>
      </c>
      <c r="I36" s="76">
        <v>13475.9</v>
      </c>
      <c r="J36" s="76">
        <v>9.4</v>
      </c>
      <c r="K36" s="76">
        <v>10.8</v>
      </c>
      <c r="L36" s="76">
        <v>228.5243083</v>
      </c>
      <c r="M36" s="76">
        <v>44.809199999999997</v>
      </c>
      <c r="N36" s="76">
        <v>44.809199999999997</v>
      </c>
      <c r="O36" s="76">
        <v>5780.5753999999997</v>
      </c>
      <c r="P36" s="76">
        <v>5780.5753999999997</v>
      </c>
      <c r="Q36" s="52">
        <v>4.3799999999999999E-2</v>
      </c>
      <c r="R36" s="52">
        <v>2.6280000000000001</v>
      </c>
      <c r="S36" s="52">
        <v>5735.7662</v>
      </c>
      <c r="T36" s="52">
        <v>9936.3475999999991</v>
      </c>
      <c r="U36" s="52">
        <v>22846.1</v>
      </c>
      <c r="V36" s="52">
        <v>24984.400000000001</v>
      </c>
      <c r="W36" s="22">
        <f t="shared" si="0"/>
        <v>2.8005749999999998</v>
      </c>
      <c r="X36" s="22">
        <f t="shared" si="1"/>
        <v>361.28596249999998</v>
      </c>
      <c r="Y36" s="21" t="s">
        <v>27</v>
      </c>
    </row>
    <row r="37" spans="1:25" s="16" customFormat="1" x14ac:dyDescent="0.4">
      <c r="A37" s="23">
        <v>46253.909594907411</v>
      </c>
      <c r="B37" s="15">
        <v>131076.1</v>
      </c>
      <c r="C37" s="16">
        <v>1024</v>
      </c>
      <c r="D37" s="16">
        <v>20</v>
      </c>
      <c r="E37" s="16">
        <v>2</v>
      </c>
      <c r="F37" s="67">
        <v>1.9379999999999999</v>
      </c>
      <c r="G37" s="15">
        <v>5</v>
      </c>
      <c r="H37" s="73">
        <v>11565.3</v>
      </c>
      <c r="I37" s="73">
        <v>10465</v>
      </c>
      <c r="J37" s="73">
        <v>13.3</v>
      </c>
      <c r="K37" s="73">
        <v>25.7</v>
      </c>
      <c r="L37" s="73">
        <v>260.11186240000001</v>
      </c>
      <c r="M37" s="73">
        <v>78.735399999999998</v>
      </c>
      <c r="N37" s="73">
        <v>78.735399999999998</v>
      </c>
      <c r="O37" s="73">
        <v>10157.176100000001</v>
      </c>
      <c r="P37" s="73">
        <v>10157.176100000001</v>
      </c>
      <c r="Q37" s="47">
        <v>7.6899999999999996E-2</v>
      </c>
      <c r="R37" s="47">
        <v>4.6139999999999999</v>
      </c>
      <c r="S37" s="47">
        <v>10078.4408</v>
      </c>
      <c r="T37" s="47">
        <v>11333.5872</v>
      </c>
      <c r="U37" s="47">
        <v>25204.799999999999</v>
      </c>
      <c r="V37" s="47">
        <v>36657.699999999997</v>
      </c>
      <c r="W37" s="17">
        <f t="shared" si="0"/>
        <v>4.9209624999999999</v>
      </c>
      <c r="X37" s="17">
        <f t="shared" si="1"/>
        <v>634.82350625000004</v>
      </c>
      <c r="Y37" s="16" t="s">
        <v>27</v>
      </c>
    </row>
    <row r="38" spans="1:25" s="16" customFormat="1" x14ac:dyDescent="0.4">
      <c r="A38" s="23">
        <v>46253.914456018516</v>
      </c>
      <c r="B38" s="15">
        <v>131076.04999999999</v>
      </c>
      <c r="C38" s="16">
        <v>1024</v>
      </c>
      <c r="D38" s="16">
        <v>40</v>
      </c>
      <c r="E38" s="16">
        <v>4</v>
      </c>
      <c r="F38" s="67">
        <v>3.8494999999999999</v>
      </c>
      <c r="G38" s="15">
        <v>5</v>
      </c>
      <c r="H38" s="73">
        <v>9964.7000000000007</v>
      </c>
      <c r="I38" s="73">
        <v>10641.5</v>
      </c>
      <c r="J38" s="73">
        <v>11</v>
      </c>
      <c r="K38" s="73">
        <v>12.3</v>
      </c>
      <c r="L38" s="73">
        <v>220.5476453</v>
      </c>
      <c r="M38" s="73">
        <v>185.71950000000001</v>
      </c>
      <c r="N38" s="73">
        <v>185.71950000000001</v>
      </c>
      <c r="O38" s="73">
        <v>23958.550999999999</v>
      </c>
      <c r="P38" s="73">
        <v>23958.550999999999</v>
      </c>
      <c r="Q38" s="47">
        <v>0.18140000000000001</v>
      </c>
      <c r="R38" s="47">
        <v>10.884</v>
      </c>
      <c r="S38" s="47">
        <v>23772.8315</v>
      </c>
      <c r="T38" s="47">
        <v>13154.0561</v>
      </c>
      <c r="U38" s="47">
        <v>21225.200000000001</v>
      </c>
      <c r="V38" s="47">
        <v>23069.9</v>
      </c>
      <c r="W38" s="17">
        <f t="shared" si="0"/>
        <v>11.607468750000001</v>
      </c>
      <c r="X38" s="17">
        <f t="shared" si="1"/>
        <v>1497.4094375</v>
      </c>
      <c r="Y38" s="16" t="s">
        <v>27</v>
      </c>
    </row>
    <row r="39" spans="1:25" s="16" customFormat="1" x14ac:dyDescent="0.4">
      <c r="A39" s="23">
        <v>46253.919849537036</v>
      </c>
      <c r="B39" s="15">
        <v>131076.01250000001</v>
      </c>
      <c r="C39" s="16">
        <v>1024</v>
      </c>
      <c r="D39" s="16">
        <v>80</v>
      </c>
      <c r="E39" s="16">
        <v>8</v>
      </c>
      <c r="F39" s="67">
        <v>7.6898999999999997</v>
      </c>
      <c r="G39" s="15">
        <v>5</v>
      </c>
      <c r="H39" s="73">
        <v>11244</v>
      </c>
      <c r="I39" s="73">
        <v>15166.8</v>
      </c>
      <c r="J39" s="73">
        <v>13.7</v>
      </c>
      <c r="K39" s="73">
        <v>19</v>
      </c>
      <c r="L39" s="73">
        <v>262.85644079999997</v>
      </c>
      <c r="M39" s="73">
        <v>311.65300000000002</v>
      </c>
      <c r="N39" s="73">
        <v>311.65300000000002</v>
      </c>
      <c r="O39" s="73">
        <v>40204.459000000003</v>
      </c>
      <c r="P39" s="73">
        <v>40204.459000000003</v>
      </c>
      <c r="Q39" s="47">
        <v>0.30430000000000001</v>
      </c>
      <c r="R39" s="47">
        <v>18.257999999999999</v>
      </c>
      <c r="S39" s="47">
        <v>39892.805999999997</v>
      </c>
      <c r="T39" s="47">
        <v>11657.4005</v>
      </c>
      <c r="U39" s="47">
        <v>25266.799999999999</v>
      </c>
      <c r="V39" s="47">
        <v>35334.199999999997</v>
      </c>
      <c r="W39" s="17">
        <f t="shared" si="0"/>
        <v>19.478312500000001</v>
      </c>
      <c r="X39" s="17">
        <f t="shared" si="1"/>
        <v>2512.7786875000002</v>
      </c>
      <c r="Y39" s="16" t="s">
        <v>27</v>
      </c>
    </row>
    <row r="40" spans="1:25" x14ac:dyDescent="0.4">
      <c r="A40" s="24">
        <v>46253.926238425927</v>
      </c>
      <c r="B40" s="12">
        <v>131076.03750000001</v>
      </c>
      <c r="C40" s="13">
        <v>1024</v>
      </c>
      <c r="D40" s="13">
        <v>160</v>
      </c>
      <c r="E40" s="13">
        <v>16</v>
      </c>
      <c r="F40" s="63">
        <v>15.475</v>
      </c>
      <c r="G40" s="12">
        <v>5</v>
      </c>
      <c r="H40" s="74">
        <v>18151.400000000001</v>
      </c>
      <c r="I40" s="74">
        <v>23670.9</v>
      </c>
      <c r="J40" s="74">
        <v>14.7</v>
      </c>
      <c r="K40" s="74">
        <v>18.600000000000001</v>
      </c>
      <c r="L40" s="74">
        <v>343.50604399999997</v>
      </c>
      <c r="M40" s="74">
        <v>476.964</v>
      </c>
      <c r="N40" s="74">
        <v>476.964</v>
      </c>
      <c r="O40" s="74">
        <v>61530.230300000003</v>
      </c>
      <c r="P40" s="74">
        <v>61530.230300000003</v>
      </c>
      <c r="Q40" s="49">
        <v>0.46579999999999999</v>
      </c>
      <c r="R40" s="49">
        <v>27.948</v>
      </c>
      <c r="S40" s="49">
        <v>61053.2664</v>
      </c>
      <c r="T40" s="49">
        <v>7221.2785000000003</v>
      </c>
      <c r="U40" s="49">
        <v>33223.599999999999</v>
      </c>
      <c r="V40" s="49">
        <v>40930.199999999997</v>
      </c>
      <c r="W40" s="9">
        <f t="shared" si="0"/>
        <v>29.81025</v>
      </c>
      <c r="X40" s="9">
        <f t="shared" si="1"/>
        <v>3845.6393937500002</v>
      </c>
      <c r="Y40" s="10" t="s">
        <v>27</v>
      </c>
    </row>
    <row r="41" spans="1:25" x14ac:dyDescent="0.4">
      <c r="A41" s="24">
        <v>46253.936296296299</v>
      </c>
      <c r="B41" s="12">
        <v>131076.05619999999</v>
      </c>
      <c r="C41" s="13">
        <v>1024</v>
      </c>
      <c r="D41" s="13">
        <v>320</v>
      </c>
      <c r="E41" s="13">
        <v>32</v>
      </c>
      <c r="F41" s="63">
        <v>30.525099999999998</v>
      </c>
      <c r="G41" s="12">
        <v>5</v>
      </c>
      <c r="H41" s="74">
        <v>46647.3</v>
      </c>
      <c r="I41" s="74">
        <v>53667.3</v>
      </c>
      <c r="J41" s="74">
        <v>14.7</v>
      </c>
      <c r="K41" s="74">
        <v>20.399999999999999</v>
      </c>
      <c r="L41" s="74">
        <v>646.8792254</v>
      </c>
      <c r="M41" s="74">
        <v>506.55509999999998</v>
      </c>
      <c r="N41" s="74">
        <v>506.55509999999998</v>
      </c>
      <c r="O41" s="74">
        <v>65347.620300000002</v>
      </c>
      <c r="P41" s="74">
        <v>65347.620300000002</v>
      </c>
      <c r="Q41" s="49">
        <v>0.49469999999999997</v>
      </c>
      <c r="R41" s="49">
        <v>29.681999999999999</v>
      </c>
      <c r="S41" s="49">
        <v>64841.065199999997</v>
      </c>
      <c r="T41" s="49">
        <v>2809.9402</v>
      </c>
      <c r="U41" s="49">
        <v>61706.400000000001</v>
      </c>
      <c r="V41" s="49">
        <v>72869.8</v>
      </c>
      <c r="W41" s="9">
        <f t="shared" ref="W41:W57" si="4">M41/16</f>
        <v>31.659693749999999</v>
      </c>
      <c r="X41" s="9">
        <f t="shared" ref="X41:X57" si="5">O41/16</f>
        <v>4084.2262687500001</v>
      </c>
      <c r="Y41" s="10" t="s">
        <v>27</v>
      </c>
    </row>
    <row r="42" spans="1:25" s="16" customFormat="1" x14ac:dyDescent="0.4">
      <c r="A42" s="23">
        <v>46253.950740740744</v>
      </c>
      <c r="B42" s="15">
        <v>131076.04999999999</v>
      </c>
      <c r="C42" s="16">
        <v>1024</v>
      </c>
      <c r="D42" s="16">
        <v>640</v>
      </c>
      <c r="E42" s="16">
        <v>64</v>
      </c>
      <c r="F42" s="67">
        <v>60.1843</v>
      </c>
      <c r="G42" s="15">
        <v>5</v>
      </c>
      <c r="H42" s="73">
        <v>78600.7</v>
      </c>
      <c r="I42" s="73">
        <v>86363.3</v>
      </c>
      <c r="J42" s="73">
        <v>15.1</v>
      </c>
      <c r="K42" s="73">
        <v>16.7</v>
      </c>
      <c r="L42" s="73">
        <v>999.8321396</v>
      </c>
      <c r="M42" s="73">
        <v>655.47</v>
      </c>
      <c r="N42" s="73">
        <v>655.47</v>
      </c>
      <c r="O42" s="73">
        <v>84558.225999999995</v>
      </c>
      <c r="P42" s="73">
        <v>84558.225999999995</v>
      </c>
      <c r="Q42" s="47">
        <v>0.6401</v>
      </c>
      <c r="R42" s="47">
        <v>38.405999999999999</v>
      </c>
      <c r="S42" s="47">
        <v>83902.755999999994</v>
      </c>
      <c r="T42" s="47">
        <v>1667.6192000000001</v>
      </c>
      <c r="U42" s="47">
        <v>94022.2</v>
      </c>
      <c r="V42" s="47">
        <v>102412</v>
      </c>
      <c r="W42" s="17">
        <f t="shared" si="4"/>
        <v>40.966875000000002</v>
      </c>
      <c r="X42" s="17">
        <f t="shared" si="5"/>
        <v>5284.8891249999997</v>
      </c>
      <c r="Y42" s="16" t="s">
        <v>27</v>
      </c>
    </row>
    <row r="43" spans="1:25" s="16" customFormat="1" x14ac:dyDescent="0.4">
      <c r="A43" s="23">
        <v>46253.981504629628</v>
      </c>
      <c r="B43" s="15">
        <v>131076.0508</v>
      </c>
      <c r="C43" s="16">
        <v>1024</v>
      </c>
      <c r="D43" s="16">
        <v>1280</v>
      </c>
      <c r="E43" s="16">
        <v>128</v>
      </c>
      <c r="F43" s="67">
        <v>121.1628</v>
      </c>
      <c r="G43" s="15">
        <v>5</v>
      </c>
      <c r="H43" s="73">
        <v>209172.5</v>
      </c>
      <c r="I43" s="73">
        <v>225266.2</v>
      </c>
      <c r="J43" s="73">
        <v>13.7</v>
      </c>
      <c r="K43" s="73">
        <v>16</v>
      </c>
      <c r="L43" s="73">
        <v>2358.1062216</v>
      </c>
      <c r="M43" s="73">
        <v>555.83590000000004</v>
      </c>
      <c r="N43" s="73">
        <v>555.83590000000004</v>
      </c>
      <c r="O43" s="73">
        <v>71705.024799999999</v>
      </c>
      <c r="P43" s="73">
        <v>71705.024799999999</v>
      </c>
      <c r="Q43" s="47">
        <v>0.54279999999999995</v>
      </c>
      <c r="R43" s="47">
        <v>32.567999999999998</v>
      </c>
      <c r="S43" s="47">
        <v>71149.188899999994</v>
      </c>
      <c r="T43" s="47">
        <v>626.64080000000001</v>
      </c>
      <c r="U43" s="47">
        <v>223214.6</v>
      </c>
      <c r="V43" s="47">
        <v>238969.3</v>
      </c>
      <c r="W43" s="17">
        <f t="shared" si="4"/>
        <v>34.739743750000002</v>
      </c>
      <c r="X43" s="17">
        <f t="shared" si="5"/>
        <v>4481.56405</v>
      </c>
      <c r="Y43" s="16" t="s">
        <v>27</v>
      </c>
    </row>
    <row r="44" spans="1:25" s="27" customFormat="1" ht="14.25" thickBot="1" x14ac:dyDescent="0.45">
      <c r="A44" s="25">
        <v>46254.040324074071</v>
      </c>
      <c r="B44" s="26">
        <v>131076.04490000001</v>
      </c>
      <c r="C44" s="27">
        <v>1024</v>
      </c>
      <c r="D44" s="27">
        <v>2560</v>
      </c>
      <c r="E44" s="27">
        <v>256</v>
      </c>
      <c r="F44" s="68">
        <v>241.828</v>
      </c>
      <c r="G44" s="26">
        <v>5</v>
      </c>
      <c r="H44" s="78">
        <v>425750.4</v>
      </c>
      <c r="I44" s="78">
        <v>453222.5</v>
      </c>
      <c r="J44" s="78">
        <v>15.8</v>
      </c>
      <c r="K44" s="78">
        <v>19</v>
      </c>
      <c r="L44" s="78">
        <v>4678.2449688999995</v>
      </c>
      <c r="M44" s="78">
        <v>560.34690000000001</v>
      </c>
      <c r="N44" s="78">
        <v>560.34690000000001</v>
      </c>
      <c r="O44" s="78">
        <v>72286.9617</v>
      </c>
      <c r="P44" s="78">
        <v>72286.9617</v>
      </c>
      <c r="Q44" s="55">
        <v>0.54720000000000002</v>
      </c>
      <c r="R44" s="55">
        <v>32.832000000000001</v>
      </c>
      <c r="S44" s="55">
        <v>71726.614799999996</v>
      </c>
      <c r="T44" s="55">
        <v>307.8707</v>
      </c>
      <c r="U44" s="55">
        <v>441926</v>
      </c>
      <c r="V44" s="55">
        <v>472562.2</v>
      </c>
      <c r="W44" s="28">
        <f t="shared" si="4"/>
        <v>35.02168125</v>
      </c>
      <c r="X44" s="28">
        <f t="shared" si="5"/>
        <v>4517.93510625</v>
      </c>
      <c r="Y44" s="27" t="s">
        <v>27</v>
      </c>
    </row>
    <row r="45" spans="1:25" s="31" customFormat="1" x14ac:dyDescent="0.4">
      <c r="A45" s="29">
        <v>46255.523032407407</v>
      </c>
      <c r="B45" s="30">
        <v>262152.125</v>
      </c>
      <c r="C45" s="31">
        <v>1024</v>
      </c>
      <c r="D45" s="31">
        <v>16</v>
      </c>
      <c r="E45" s="31">
        <v>4</v>
      </c>
      <c r="F45" s="69">
        <v>3.7189000000000001</v>
      </c>
      <c r="G45" s="30">
        <v>0</v>
      </c>
      <c r="H45" s="79">
        <v>15783.7</v>
      </c>
      <c r="I45" s="79">
        <v>21563.200000000001</v>
      </c>
      <c r="J45" s="79">
        <v>10.199999999999999</v>
      </c>
      <c r="K45" s="79">
        <v>13.4</v>
      </c>
      <c r="L45" s="79">
        <v>112.95590489999999</v>
      </c>
      <c r="M45" s="79">
        <v>145.0478</v>
      </c>
      <c r="N45" s="79">
        <v>145.0478</v>
      </c>
      <c r="O45" s="79">
        <v>37278.423000000003</v>
      </c>
      <c r="P45" s="79">
        <v>37278.423000000003</v>
      </c>
      <c r="Q45" s="56">
        <v>0.1416</v>
      </c>
      <c r="R45" s="56">
        <v>8.4960000000000004</v>
      </c>
      <c r="S45" s="56">
        <v>37133.375200000002</v>
      </c>
      <c r="T45" s="56">
        <v>16609.074700000001</v>
      </c>
      <c r="U45" s="56">
        <v>26254.400000000001</v>
      </c>
      <c r="V45" s="56">
        <v>31640.5</v>
      </c>
      <c r="W45" s="32">
        <f t="shared" si="4"/>
        <v>9.0654874999999997</v>
      </c>
      <c r="X45" s="32">
        <f t="shared" si="5"/>
        <v>2329.9014375000002</v>
      </c>
      <c r="Y45" s="31" t="s">
        <v>25</v>
      </c>
    </row>
    <row r="46" spans="1:25" s="13" customFormat="1" x14ac:dyDescent="0.4">
      <c r="A46" s="24">
        <v>46255.527384259258</v>
      </c>
      <c r="B46" s="12">
        <v>262152.03120000003</v>
      </c>
      <c r="C46" s="13">
        <v>1024</v>
      </c>
      <c r="D46" s="13">
        <v>32</v>
      </c>
      <c r="E46" s="13">
        <v>8</v>
      </c>
      <c r="F46" s="63">
        <v>7.1424000000000003</v>
      </c>
      <c r="G46" s="12">
        <v>0</v>
      </c>
      <c r="H46" s="74">
        <v>35101.5</v>
      </c>
      <c r="I46" s="74">
        <v>41945.5</v>
      </c>
      <c r="J46" s="74">
        <v>10.9</v>
      </c>
      <c r="K46" s="74">
        <v>13.4</v>
      </c>
      <c r="L46" s="74">
        <v>207.44764599999999</v>
      </c>
      <c r="M46" s="74">
        <v>157.9579</v>
      </c>
      <c r="N46" s="74">
        <v>157.9579</v>
      </c>
      <c r="O46" s="74">
        <v>40596.425999999999</v>
      </c>
      <c r="P46" s="74">
        <v>40596.425999999999</v>
      </c>
      <c r="Q46" s="49">
        <v>0.15429999999999999</v>
      </c>
      <c r="R46" s="49">
        <v>9.2579999999999991</v>
      </c>
      <c r="S46" s="49">
        <v>40438.468000000001</v>
      </c>
      <c r="T46" s="49">
        <v>7468.3963999999996</v>
      </c>
      <c r="U46" s="49">
        <v>46302.3</v>
      </c>
      <c r="V46" s="49">
        <v>52943.6</v>
      </c>
      <c r="W46" s="14">
        <f t="shared" si="4"/>
        <v>9.8723687499999997</v>
      </c>
      <c r="X46" s="14">
        <f t="shared" si="5"/>
        <v>2537.276625</v>
      </c>
      <c r="Y46" s="13" t="s">
        <v>25</v>
      </c>
    </row>
    <row r="47" spans="1:25" x14ac:dyDescent="0.4">
      <c r="A47" s="33">
        <v>46255.533761574072</v>
      </c>
      <c r="B47" s="8">
        <v>262148.0625</v>
      </c>
      <c r="C47" s="6">
        <v>1024</v>
      </c>
      <c r="D47" s="6">
        <v>64</v>
      </c>
      <c r="E47" s="6">
        <v>16</v>
      </c>
      <c r="F47" s="62">
        <v>14.1622</v>
      </c>
      <c r="G47" s="8">
        <v>0</v>
      </c>
      <c r="H47" s="72">
        <v>73464.800000000003</v>
      </c>
      <c r="I47" s="72">
        <v>87662</v>
      </c>
      <c r="J47" s="72">
        <v>10.5</v>
      </c>
      <c r="K47" s="72">
        <v>12.8</v>
      </c>
      <c r="L47" s="72">
        <v>380.33652030000002</v>
      </c>
      <c r="M47" s="72">
        <v>172.31059999999999</v>
      </c>
      <c r="N47" s="72">
        <v>172.31059999999999</v>
      </c>
      <c r="O47" s="72">
        <v>44284.498299999999</v>
      </c>
      <c r="P47" s="72">
        <v>44284.498299999999</v>
      </c>
      <c r="Q47" s="46">
        <v>0.16830000000000001</v>
      </c>
      <c r="R47" s="46">
        <v>10.098000000000001</v>
      </c>
      <c r="S47" s="46">
        <v>44112.1878</v>
      </c>
      <c r="T47" s="46">
        <v>3568.3507</v>
      </c>
      <c r="U47" s="46">
        <v>84162.3</v>
      </c>
      <c r="V47" s="46">
        <v>98666.1</v>
      </c>
      <c r="W47" s="9">
        <f t="shared" si="4"/>
        <v>10.7694125</v>
      </c>
      <c r="X47" s="9">
        <f t="shared" si="5"/>
        <v>2767.78114375</v>
      </c>
      <c r="Y47" s="10" t="s">
        <v>25</v>
      </c>
    </row>
    <row r="48" spans="1:25" s="36" customFormat="1" ht="14.25" thickBot="1" x14ac:dyDescent="0.45">
      <c r="A48" s="34">
        <v>46255.545115740744</v>
      </c>
      <c r="B48" s="35">
        <v>262148.09379999997</v>
      </c>
      <c r="C48" s="36">
        <v>1024</v>
      </c>
      <c r="D48" s="36">
        <v>128</v>
      </c>
      <c r="E48" s="36">
        <v>32</v>
      </c>
      <c r="F48" s="65">
        <v>28.609100000000002</v>
      </c>
      <c r="G48" s="35">
        <v>0</v>
      </c>
      <c r="H48" s="77">
        <v>168119.5</v>
      </c>
      <c r="I48" s="77">
        <v>208109.8</v>
      </c>
      <c r="J48" s="77">
        <v>11.4</v>
      </c>
      <c r="K48" s="77">
        <v>13.8</v>
      </c>
      <c r="L48" s="77">
        <v>804.16125790000001</v>
      </c>
      <c r="M48" s="77">
        <v>162.9922</v>
      </c>
      <c r="N48" s="77">
        <v>162.9922</v>
      </c>
      <c r="O48" s="77">
        <v>41889.642999999996</v>
      </c>
      <c r="P48" s="77">
        <v>41889.642999999996</v>
      </c>
      <c r="Q48" s="54">
        <v>0.15920000000000001</v>
      </c>
      <c r="R48" s="54">
        <v>9.5519999999999996</v>
      </c>
      <c r="S48" s="54">
        <v>41726.650800000003</v>
      </c>
      <c r="T48" s="54">
        <v>1559.2963</v>
      </c>
      <c r="U48" s="54">
        <v>179736.7</v>
      </c>
      <c r="V48" s="54">
        <v>220749</v>
      </c>
      <c r="W48" s="37">
        <f t="shared" si="4"/>
        <v>10.1870125</v>
      </c>
      <c r="X48" s="37">
        <f t="shared" si="5"/>
        <v>2618.1026874999998</v>
      </c>
      <c r="Y48" s="38" t="s">
        <v>25</v>
      </c>
    </row>
    <row r="49" spans="1:25" s="31" customFormat="1" x14ac:dyDescent="0.4">
      <c r="A49" s="29">
        <v>46255.549675925926</v>
      </c>
      <c r="B49" s="30">
        <v>524292.125</v>
      </c>
      <c r="C49" s="31">
        <v>1024</v>
      </c>
      <c r="D49" s="31">
        <v>16</v>
      </c>
      <c r="E49" s="31">
        <v>4</v>
      </c>
      <c r="F49" s="69">
        <v>3.7530000000000001</v>
      </c>
      <c r="G49" s="30">
        <v>0</v>
      </c>
      <c r="H49" s="79">
        <v>25480.400000000001</v>
      </c>
      <c r="I49" s="79">
        <v>35300.800000000003</v>
      </c>
      <c r="J49" s="79">
        <v>13.6</v>
      </c>
      <c r="K49" s="79">
        <v>14.2</v>
      </c>
      <c r="L49" s="79">
        <v>168.10628439999999</v>
      </c>
      <c r="M49" s="79">
        <v>97.462199999999996</v>
      </c>
      <c r="N49" s="79">
        <v>97.462199999999996</v>
      </c>
      <c r="O49" s="79">
        <v>49998.4758</v>
      </c>
      <c r="P49" s="79">
        <v>49998.4758</v>
      </c>
      <c r="Q49" s="56">
        <v>9.5200000000000007E-2</v>
      </c>
      <c r="R49" s="56">
        <v>5.7119999999999997</v>
      </c>
      <c r="S49" s="56">
        <v>49901.013700000003</v>
      </c>
      <c r="T49" s="56">
        <v>20576.307700000001</v>
      </c>
      <c r="U49" s="56">
        <v>39431.4</v>
      </c>
      <c r="V49" s="56">
        <v>48353.4</v>
      </c>
      <c r="W49" s="32">
        <f t="shared" si="4"/>
        <v>6.0913874999999997</v>
      </c>
      <c r="X49" s="32">
        <f t="shared" si="5"/>
        <v>3124.9047375</v>
      </c>
      <c r="Y49" s="31" t="s">
        <v>25</v>
      </c>
    </row>
    <row r="50" spans="1:25" s="13" customFormat="1" x14ac:dyDescent="0.4">
      <c r="A50" s="24">
        <v>46255.555648148147</v>
      </c>
      <c r="B50" s="12">
        <v>524292.0625</v>
      </c>
      <c r="C50" s="13">
        <v>1024</v>
      </c>
      <c r="D50" s="13">
        <v>32</v>
      </c>
      <c r="E50" s="13">
        <v>8</v>
      </c>
      <c r="F50" s="63">
        <v>7.2736999999999998</v>
      </c>
      <c r="G50" s="12">
        <v>0</v>
      </c>
      <c r="H50" s="74">
        <v>51071</v>
      </c>
      <c r="I50" s="74">
        <v>66278.399999999994</v>
      </c>
      <c r="J50" s="74">
        <v>14</v>
      </c>
      <c r="K50" s="74">
        <v>18.899999999999999</v>
      </c>
      <c r="L50" s="74">
        <v>287.54294490000001</v>
      </c>
      <c r="M50" s="74">
        <v>113.9586</v>
      </c>
      <c r="N50" s="74">
        <v>113.9586</v>
      </c>
      <c r="O50" s="74">
        <v>58461.229200000002</v>
      </c>
      <c r="P50" s="74">
        <v>58461.229200000002</v>
      </c>
      <c r="Q50" s="49">
        <v>0.1113</v>
      </c>
      <c r="R50" s="49">
        <v>6.6779999999999999</v>
      </c>
      <c r="S50" s="49">
        <v>58347.270600000003</v>
      </c>
      <c r="T50" s="49">
        <v>10265.9494</v>
      </c>
      <c r="U50" s="49">
        <v>65359.7</v>
      </c>
      <c r="V50" s="49">
        <v>80165.5</v>
      </c>
      <c r="W50" s="14">
        <f t="shared" si="4"/>
        <v>7.1224125000000003</v>
      </c>
      <c r="X50" s="14">
        <f t="shared" si="5"/>
        <v>3653.8268250000001</v>
      </c>
      <c r="Y50" s="13" t="s">
        <v>25</v>
      </c>
    </row>
    <row r="51" spans="1:25" x14ac:dyDescent="0.4">
      <c r="A51" s="33">
        <v>46255.564652777779</v>
      </c>
      <c r="B51" s="8">
        <v>524292.07810000004</v>
      </c>
      <c r="C51" s="6">
        <v>1024</v>
      </c>
      <c r="D51" s="6">
        <v>64</v>
      </c>
      <c r="E51" s="6">
        <v>16</v>
      </c>
      <c r="F51" s="62">
        <v>14.458500000000001</v>
      </c>
      <c r="G51" s="8">
        <v>0</v>
      </c>
      <c r="H51" s="72">
        <v>108451.9</v>
      </c>
      <c r="I51" s="72">
        <v>141248.20000000001</v>
      </c>
      <c r="J51" s="72">
        <v>13.8</v>
      </c>
      <c r="K51" s="72">
        <v>14.7</v>
      </c>
      <c r="L51" s="72">
        <v>542.5023569</v>
      </c>
      <c r="M51" s="72">
        <v>120.8032</v>
      </c>
      <c r="N51" s="72">
        <v>120.8032</v>
      </c>
      <c r="O51" s="72">
        <v>61972.503100000002</v>
      </c>
      <c r="P51" s="72">
        <v>61972.503100000002</v>
      </c>
      <c r="Q51" s="46">
        <v>0.11799999999999999</v>
      </c>
      <c r="R51" s="46">
        <v>7.08</v>
      </c>
      <c r="S51" s="46">
        <v>61851.6999</v>
      </c>
      <c r="T51" s="46">
        <v>4834.3302999999996</v>
      </c>
      <c r="U51" s="46">
        <v>122559</v>
      </c>
      <c r="V51" s="46">
        <v>153979.70000000001</v>
      </c>
      <c r="W51" s="9">
        <f t="shared" si="4"/>
        <v>7.5502000000000002</v>
      </c>
      <c r="X51" s="9">
        <f t="shared" si="5"/>
        <v>3873.2814437500001</v>
      </c>
      <c r="Y51" s="10" t="s">
        <v>25</v>
      </c>
    </row>
    <row r="52" spans="1:25" s="36" customFormat="1" ht="14.25" thickBot="1" x14ac:dyDescent="0.45">
      <c r="A52" s="34">
        <v>46255.579236111109</v>
      </c>
      <c r="B52" s="35">
        <v>524292.04689999996</v>
      </c>
      <c r="C52" s="36">
        <v>1024</v>
      </c>
      <c r="D52" s="36">
        <v>128</v>
      </c>
      <c r="E52" s="36">
        <v>32</v>
      </c>
      <c r="F52" s="65">
        <v>28.375299999999999</v>
      </c>
      <c r="G52" s="35">
        <v>0</v>
      </c>
      <c r="H52" s="77">
        <v>210385.1</v>
      </c>
      <c r="I52" s="77">
        <v>248021</v>
      </c>
      <c r="J52" s="77">
        <v>12.8</v>
      </c>
      <c r="K52" s="77">
        <v>15.3</v>
      </c>
      <c r="L52" s="77">
        <v>1008.2128637</v>
      </c>
      <c r="M52" s="77">
        <v>130.0043</v>
      </c>
      <c r="N52" s="77">
        <v>130.0043</v>
      </c>
      <c r="O52" s="77">
        <v>66692.715800000005</v>
      </c>
      <c r="P52" s="77">
        <v>66692.715800000005</v>
      </c>
      <c r="Q52" s="54">
        <v>0.127</v>
      </c>
      <c r="R52" s="54">
        <v>7.62</v>
      </c>
      <c r="S52" s="54">
        <v>66562.711500000005</v>
      </c>
      <c r="T52" s="54">
        <v>2492.0583000000001</v>
      </c>
      <c r="U52" s="54">
        <v>223502.8</v>
      </c>
      <c r="V52" s="54">
        <v>262532.7</v>
      </c>
      <c r="W52" s="37">
        <f t="shared" si="4"/>
        <v>8.12526875</v>
      </c>
      <c r="X52" s="37">
        <f t="shared" si="5"/>
        <v>4168.2947375000003</v>
      </c>
      <c r="Y52" s="38" t="s">
        <v>25</v>
      </c>
    </row>
    <row r="53" spans="1:25" s="41" customFormat="1" x14ac:dyDescent="0.4">
      <c r="A53" s="39">
        <v>46255.585266203707</v>
      </c>
      <c r="B53" s="40">
        <v>768436.125</v>
      </c>
      <c r="C53" s="41">
        <v>1024</v>
      </c>
      <c r="D53" s="41">
        <v>16</v>
      </c>
      <c r="E53" s="41">
        <v>4</v>
      </c>
      <c r="F53" s="64">
        <v>3.5238</v>
      </c>
      <c r="G53" s="40">
        <v>0</v>
      </c>
      <c r="H53" s="75">
        <v>32304.3</v>
      </c>
      <c r="I53" s="75">
        <v>41156.5</v>
      </c>
      <c r="J53" s="75">
        <v>18.600000000000001</v>
      </c>
      <c r="K53" s="75">
        <v>41.4</v>
      </c>
      <c r="L53" s="75">
        <v>233.20985239999999</v>
      </c>
      <c r="M53" s="75">
        <v>70.254300000000001</v>
      </c>
      <c r="N53" s="75">
        <v>70.254300000000001</v>
      </c>
      <c r="O53" s="75">
        <v>52790.917200000004</v>
      </c>
      <c r="P53" s="75">
        <v>52790.917200000004</v>
      </c>
      <c r="Q53" s="51">
        <v>6.8599999999999994E-2</v>
      </c>
      <c r="R53" s="51">
        <v>4.1159999999999997</v>
      </c>
      <c r="S53" s="51">
        <v>52720.662900000003</v>
      </c>
      <c r="T53" s="51">
        <v>23787.395100000002</v>
      </c>
      <c r="U53" s="51">
        <v>51360.9</v>
      </c>
      <c r="V53" s="51">
        <v>70273.2</v>
      </c>
      <c r="W53" s="42">
        <f t="shared" si="4"/>
        <v>4.39089375</v>
      </c>
      <c r="X53" s="42">
        <f t="shared" si="5"/>
        <v>3299.4323250000002</v>
      </c>
      <c r="Y53" s="43" t="s">
        <v>25</v>
      </c>
    </row>
    <row r="54" spans="1:25" s="36" customFormat="1" ht="14.25" thickBot="1" x14ac:dyDescent="0.45">
      <c r="A54" s="34">
        <v>46255.593113425923</v>
      </c>
      <c r="B54" s="35">
        <v>768436.0625</v>
      </c>
      <c r="C54" s="36">
        <v>1024</v>
      </c>
      <c r="D54" s="36">
        <v>32</v>
      </c>
      <c r="E54" s="36">
        <v>8</v>
      </c>
      <c r="F54" s="65">
        <v>7.3632</v>
      </c>
      <c r="G54" s="35">
        <v>0</v>
      </c>
      <c r="H54" s="77">
        <v>72028.100000000006</v>
      </c>
      <c r="I54" s="77">
        <v>100275.4</v>
      </c>
      <c r="J54" s="77">
        <v>17.100000000000001</v>
      </c>
      <c r="K54" s="77">
        <v>27.5</v>
      </c>
      <c r="L54" s="77">
        <v>388.83336689999999</v>
      </c>
      <c r="M54" s="77">
        <v>84.272599999999997</v>
      </c>
      <c r="N54" s="77">
        <v>84.272599999999997</v>
      </c>
      <c r="O54" s="77">
        <v>63324.611799999999</v>
      </c>
      <c r="P54" s="77">
        <v>63324.611799999999</v>
      </c>
      <c r="Q54" s="54">
        <v>8.2299999999999998E-2</v>
      </c>
      <c r="R54" s="54">
        <v>4.9379999999999997</v>
      </c>
      <c r="S54" s="54">
        <v>63240.339200000002</v>
      </c>
      <c r="T54" s="54">
        <v>10668.5664</v>
      </c>
      <c r="U54" s="54">
        <v>89470.399999999994</v>
      </c>
      <c r="V54" s="54">
        <v>118096.1</v>
      </c>
      <c r="W54" s="37">
        <f t="shared" si="4"/>
        <v>5.2670374999999998</v>
      </c>
      <c r="X54" s="37">
        <f t="shared" si="5"/>
        <v>3957.7882374999999</v>
      </c>
      <c r="Y54" s="38" t="s">
        <v>25</v>
      </c>
    </row>
    <row r="55" spans="1:25" s="41" customFormat="1" x14ac:dyDescent="0.4">
      <c r="A55" s="39">
        <v>46255.612500000003</v>
      </c>
      <c r="B55" s="40">
        <v>1047530.25</v>
      </c>
      <c r="C55" s="41">
        <v>1024</v>
      </c>
      <c r="D55" s="41">
        <v>8</v>
      </c>
      <c r="E55" s="41">
        <v>2</v>
      </c>
      <c r="F55" s="64">
        <v>1.9147000000000001</v>
      </c>
      <c r="G55" s="40">
        <v>0</v>
      </c>
      <c r="H55" s="75">
        <v>32706</v>
      </c>
      <c r="I55" s="75">
        <v>35742.5</v>
      </c>
      <c r="J55" s="75">
        <v>13.2</v>
      </c>
      <c r="K55" s="75">
        <v>13.9</v>
      </c>
      <c r="L55" s="75">
        <v>193.03895220000001</v>
      </c>
      <c r="M55" s="75">
        <v>42.436999999999998</v>
      </c>
      <c r="N55" s="75">
        <v>42.436999999999998</v>
      </c>
      <c r="O55" s="75">
        <v>43454.618399999999</v>
      </c>
      <c r="P55" s="75">
        <v>43454.618399999999</v>
      </c>
      <c r="Q55" s="51">
        <v>4.1399999999999999E-2</v>
      </c>
      <c r="R55" s="51">
        <v>2.484</v>
      </c>
      <c r="S55" s="51">
        <v>43412.181400000001</v>
      </c>
      <c r="T55" s="51">
        <v>32028.725200000001</v>
      </c>
      <c r="U55" s="51">
        <v>46201</v>
      </c>
      <c r="V55" s="51">
        <v>49422.8</v>
      </c>
      <c r="W55" s="42">
        <f t="shared" si="4"/>
        <v>2.6523124999999999</v>
      </c>
      <c r="X55" s="42">
        <f t="shared" si="5"/>
        <v>2715.91365</v>
      </c>
      <c r="Y55" s="43" t="s">
        <v>25</v>
      </c>
    </row>
    <row r="56" spans="1:25" x14ac:dyDescent="0.4">
      <c r="A56" s="33">
        <v>46255.619305555556</v>
      </c>
      <c r="B56" s="8">
        <v>1047530.125</v>
      </c>
      <c r="C56" s="6">
        <v>1024</v>
      </c>
      <c r="D56" s="6">
        <v>16</v>
      </c>
      <c r="E56" s="6">
        <v>4</v>
      </c>
      <c r="F56" s="62">
        <v>3.6957</v>
      </c>
      <c r="G56" s="8">
        <v>0</v>
      </c>
      <c r="H56" s="72">
        <v>41128.400000000001</v>
      </c>
      <c r="I56" s="72">
        <v>50934.400000000001</v>
      </c>
      <c r="J56" s="72">
        <v>13.9</v>
      </c>
      <c r="K56" s="72">
        <v>17.600000000000001</v>
      </c>
      <c r="L56" s="72">
        <v>239.67951729999999</v>
      </c>
      <c r="M56" s="72">
        <v>68.357900000000001</v>
      </c>
      <c r="N56" s="72">
        <v>68.357900000000001</v>
      </c>
      <c r="O56" s="72">
        <v>69997.078500000003</v>
      </c>
      <c r="P56" s="72">
        <v>69997.078500000003</v>
      </c>
      <c r="Q56" s="46">
        <v>6.6799999999999998E-2</v>
      </c>
      <c r="R56" s="46">
        <v>4.008</v>
      </c>
      <c r="S56" s="46">
        <v>69928.720600000001</v>
      </c>
      <c r="T56" s="46">
        <v>25469.7536</v>
      </c>
      <c r="U56" s="46">
        <v>55361.5</v>
      </c>
      <c r="V56" s="46">
        <v>67345.399999999994</v>
      </c>
      <c r="W56" s="9">
        <f t="shared" si="4"/>
        <v>4.27236875</v>
      </c>
      <c r="X56" s="9">
        <f t="shared" si="5"/>
        <v>4374.8174062500002</v>
      </c>
      <c r="Y56" s="10" t="s">
        <v>25</v>
      </c>
    </row>
    <row r="57" spans="1:25" s="36" customFormat="1" ht="14.25" thickBot="1" x14ac:dyDescent="0.45">
      <c r="A57" s="34">
        <v>46255.629641203705</v>
      </c>
      <c r="B57" s="35">
        <v>1047530.0625</v>
      </c>
      <c r="C57" s="36">
        <v>1024</v>
      </c>
      <c r="D57" s="36">
        <v>32</v>
      </c>
      <c r="E57" s="36">
        <v>8</v>
      </c>
      <c r="F57" s="65">
        <v>7.2971000000000004</v>
      </c>
      <c r="G57" s="35">
        <v>0</v>
      </c>
      <c r="H57" s="77">
        <v>103387.1</v>
      </c>
      <c r="I57" s="77">
        <v>122703.4</v>
      </c>
      <c r="J57" s="77">
        <v>20</v>
      </c>
      <c r="K57" s="77">
        <v>31.9</v>
      </c>
      <c r="L57" s="77">
        <v>543.10365039999999</v>
      </c>
      <c r="M57" s="77">
        <v>60.334699999999998</v>
      </c>
      <c r="N57" s="77">
        <v>60.334699999999998</v>
      </c>
      <c r="O57" s="77">
        <v>61781.448100000001</v>
      </c>
      <c r="P57" s="77">
        <v>61781.448100000001</v>
      </c>
      <c r="Q57" s="54">
        <v>5.8900000000000001E-2</v>
      </c>
      <c r="R57" s="54">
        <v>3.5339999999999998</v>
      </c>
      <c r="S57" s="54">
        <v>61721.113400000002</v>
      </c>
      <c r="T57" s="54">
        <v>10132.115100000001</v>
      </c>
      <c r="U57" s="54">
        <v>123846.3</v>
      </c>
      <c r="V57" s="54">
        <v>142343.9</v>
      </c>
      <c r="W57" s="37">
        <f t="shared" si="4"/>
        <v>3.7709187499999999</v>
      </c>
      <c r="X57" s="37">
        <f t="shared" si="5"/>
        <v>3861.3405062500001</v>
      </c>
      <c r="Y57" s="38" t="s">
        <v>25</v>
      </c>
    </row>
    <row r="58" spans="1:25" x14ac:dyDescent="0.4">
      <c r="A58" s="7"/>
      <c r="W58" s="9"/>
      <c r="X58" s="9"/>
    </row>
    <row r="59" spans="1:25" x14ac:dyDescent="0.4">
      <c r="A59" s="7">
        <v>46255.447847222225</v>
      </c>
      <c r="B59" s="8">
        <v>1047530.25</v>
      </c>
      <c r="C59" s="6">
        <v>1024</v>
      </c>
      <c r="D59" s="6">
        <v>8</v>
      </c>
      <c r="E59" s="6">
        <v>2</v>
      </c>
      <c r="F59" s="62">
        <v>1.8593999999999999</v>
      </c>
      <c r="G59" s="8">
        <v>0</v>
      </c>
      <c r="H59" s="72">
        <v>31592.3</v>
      </c>
      <c r="I59" s="72">
        <v>37450.9</v>
      </c>
      <c r="J59" s="72">
        <v>18.2</v>
      </c>
      <c r="K59" s="72">
        <v>26.3</v>
      </c>
      <c r="L59" s="72">
        <v>215.8109078</v>
      </c>
      <c r="M59" s="72">
        <v>37.959200000000003</v>
      </c>
      <c r="N59" s="72">
        <v>37.959200000000003</v>
      </c>
      <c r="O59" s="72">
        <v>38869.369899999998</v>
      </c>
      <c r="P59" s="72">
        <v>38869.369899999998</v>
      </c>
      <c r="Q59" s="46">
        <v>3.7100000000000001E-2</v>
      </c>
      <c r="R59" s="46">
        <v>2.226</v>
      </c>
      <c r="S59" s="46">
        <v>38831.4107</v>
      </c>
      <c r="T59" s="46">
        <v>33157.801399999997</v>
      </c>
      <c r="U59" s="46">
        <v>50160</v>
      </c>
      <c r="V59" s="46">
        <v>57997.1</v>
      </c>
      <c r="W59" s="9">
        <f>M59/16</f>
        <v>2.3724500000000002</v>
      </c>
      <c r="X59" s="9">
        <f>O59/16</f>
        <v>2429.3356187499999</v>
      </c>
      <c r="Y59" s="10" t="s">
        <v>26</v>
      </c>
    </row>
    <row r="60" spans="1:25" x14ac:dyDescent="0.4">
      <c r="A60" s="7">
        <v>46255.460219907407</v>
      </c>
      <c r="B60" s="8">
        <v>768436.125</v>
      </c>
      <c r="C60" s="6">
        <v>1024</v>
      </c>
      <c r="D60" s="6">
        <v>16</v>
      </c>
      <c r="E60" s="6">
        <v>4</v>
      </c>
      <c r="F60" s="62">
        <v>3.4405000000000001</v>
      </c>
      <c r="G60" s="8">
        <v>0</v>
      </c>
      <c r="H60" s="72">
        <v>34699.199999999997</v>
      </c>
      <c r="I60" s="72">
        <v>42298.7</v>
      </c>
      <c r="J60" s="72">
        <v>19.399999999999999</v>
      </c>
      <c r="K60" s="72">
        <v>34.299999999999997</v>
      </c>
      <c r="L60" s="72">
        <v>253.45342500000001</v>
      </c>
      <c r="M60" s="72">
        <v>64.643000000000001</v>
      </c>
      <c r="N60" s="72">
        <v>64.643000000000001</v>
      </c>
      <c r="O60" s="72">
        <v>48574.455000000002</v>
      </c>
      <c r="P60" s="72">
        <v>48574.455000000002</v>
      </c>
      <c r="Q60" s="46">
        <v>6.3100000000000003E-2</v>
      </c>
      <c r="R60" s="46">
        <v>3.786</v>
      </c>
      <c r="S60" s="46">
        <v>48509.811999999998</v>
      </c>
      <c r="T60" s="46">
        <v>22145.614699999998</v>
      </c>
      <c r="U60" s="46">
        <v>54500</v>
      </c>
      <c r="V60" s="46">
        <v>68290.7</v>
      </c>
      <c r="W60" s="9">
        <f>M60/16</f>
        <v>4.0401875</v>
      </c>
      <c r="X60" s="9">
        <f>O60/16</f>
        <v>3035.9034375000001</v>
      </c>
      <c r="Y60" s="10" t="s">
        <v>26</v>
      </c>
    </row>
    <row r="61" spans="1:25" x14ac:dyDescent="0.4">
      <c r="A61" s="7">
        <v>46255.466319444444</v>
      </c>
      <c r="B61" s="8">
        <v>524292.125</v>
      </c>
      <c r="C61" s="6">
        <v>1024</v>
      </c>
      <c r="D61" s="6">
        <v>16</v>
      </c>
      <c r="E61" s="6">
        <v>4</v>
      </c>
      <c r="F61" s="62">
        <v>3.75</v>
      </c>
      <c r="G61" s="8">
        <v>0</v>
      </c>
      <c r="H61" s="72">
        <v>23533.8</v>
      </c>
      <c r="I61" s="72">
        <v>28465.5</v>
      </c>
      <c r="J61" s="72">
        <v>11.4</v>
      </c>
      <c r="K61" s="72">
        <v>12.8</v>
      </c>
      <c r="L61" s="72">
        <v>149.96712450000001</v>
      </c>
      <c r="M61" s="72">
        <v>109.25060000000001</v>
      </c>
      <c r="N61" s="72">
        <v>109.25060000000001</v>
      </c>
      <c r="O61" s="72">
        <v>56046.003599999996</v>
      </c>
      <c r="P61" s="72">
        <v>56046.003599999996</v>
      </c>
      <c r="Q61" s="46">
        <v>0.1067</v>
      </c>
      <c r="R61" s="46">
        <v>6.4020000000000001</v>
      </c>
      <c r="S61" s="46">
        <v>55936.752999999997</v>
      </c>
      <c r="T61" s="46">
        <v>22278.260200000001</v>
      </c>
      <c r="U61" s="46">
        <v>35148.699999999997</v>
      </c>
      <c r="V61" s="46">
        <v>41102.5</v>
      </c>
      <c r="W61" s="9">
        <f>M61/16</f>
        <v>6.8281625000000004</v>
      </c>
      <c r="X61" s="9">
        <f>O61/16</f>
        <v>3502.8752249999998</v>
      </c>
      <c r="Y61" s="10" t="s">
        <v>26</v>
      </c>
    </row>
    <row r="62" spans="1:25" x14ac:dyDescent="0.4">
      <c r="A62" s="7">
        <v>46255.480636574073</v>
      </c>
      <c r="B62" s="8">
        <v>262148.125</v>
      </c>
      <c r="C62" s="6">
        <v>1024</v>
      </c>
      <c r="D62" s="6">
        <v>16</v>
      </c>
      <c r="E62" s="6">
        <v>4</v>
      </c>
      <c r="F62" s="62">
        <v>3.7706</v>
      </c>
      <c r="G62" s="8">
        <v>0</v>
      </c>
      <c r="H62" s="72">
        <v>15740.9</v>
      </c>
      <c r="I62" s="72">
        <v>19485.599999999999</v>
      </c>
      <c r="J62" s="72">
        <v>10.5</v>
      </c>
      <c r="K62" s="72">
        <v>12.6</v>
      </c>
      <c r="L62" s="72">
        <v>112.5819905</v>
      </c>
      <c r="M62" s="72">
        <v>145.52950000000001</v>
      </c>
      <c r="N62" s="72">
        <v>145.52950000000001</v>
      </c>
      <c r="O62" s="72">
        <v>37401.665999999997</v>
      </c>
      <c r="P62" s="72">
        <v>37401.665999999997</v>
      </c>
      <c r="Q62" s="46">
        <v>0.1421</v>
      </c>
      <c r="R62" s="46">
        <v>8.5259999999999998</v>
      </c>
      <c r="S62" s="46">
        <v>37256.136500000001</v>
      </c>
      <c r="T62" s="46">
        <v>16653.910800000001</v>
      </c>
      <c r="U62" s="46">
        <v>26531.5</v>
      </c>
      <c r="V62" s="46">
        <v>29217</v>
      </c>
      <c r="W62" s="9">
        <f>M62/16</f>
        <v>9.0955937500000008</v>
      </c>
      <c r="X62" s="9">
        <f>O62/16</f>
        <v>2337.6041249999998</v>
      </c>
      <c r="Y62" s="10" t="s">
        <v>26</v>
      </c>
    </row>
    <row r="63" spans="1:25" x14ac:dyDescent="0.4">
      <c r="A63" s="7">
        <v>46255.501215277778</v>
      </c>
      <c r="B63" s="8">
        <v>262148.04690000002</v>
      </c>
      <c r="C63" s="6">
        <v>1024</v>
      </c>
      <c r="D63" s="6">
        <v>64</v>
      </c>
      <c r="E63" s="6">
        <v>16</v>
      </c>
      <c r="F63" s="62">
        <v>14.213100000000001</v>
      </c>
      <c r="G63" s="8">
        <v>0</v>
      </c>
      <c r="H63" s="72">
        <v>79898.899999999994</v>
      </c>
      <c r="I63" s="72">
        <v>95305.7</v>
      </c>
      <c r="J63" s="72">
        <v>11.5</v>
      </c>
      <c r="K63" s="72">
        <v>14.4</v>
      </c>
      <c r="L63" s="72">
        <v>412.65187980000002</v>
      </c>
      <c r="M63" s="72">
        <v>158.8167</v>
      </c>
      <c r="N63" s="72">
        <v>158.8167</v>
      </c>
      <c r="O63" s="72">
        <v>40816.513400000003</v>
      </c>
      <c r="P63" s="72">
        <v>40816.513400000003</v>
      </c>
      <c r="Q63" s="46">
        <v>0.15509999999999999</v>
      </c>
      <c r="R63" s="46">
        <v>9.3059999999999992</v>
      </c>
      <c r="S63" s="46">
        <v>40657.696799999998</v>
      </c>
      <c r="T63" s="46">
        <v>3280.9969000000001</v>
      </c>
      <c r="U63" s="46">
        <v>91641.7</v>
      </c>
      <c r="V63" s="46">
        <v>113515.6</v>
      </c>
      <c r="W63" s="9">
        <f>M63/16</f>
        <v>9.9260437499999998</v>
      </c>
      <c r="X63" s="9">
        <f>O63/16</f>
        <v>2551.0320875000002</v>
      </c>
      <c r="Y63" s="10" t="s">
        <v>26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zoomScale="115" zoomScaleNormal="115" workbookViewId="0">
      <pane ySplit="1" topLeftCell="A2" activePane="bottomLeft" state="frozen"/>
      <selection pane="bottomLeft" activeCell="N28" sqref="N28"/>
    </sheetView>
  </sheetViews>
  <sheetFormatPr defaultColWidth="9" defaultRowHeight="13.9" x14ac:dyDescent="0.4"/>
  <cols>
    <col min="1" max="1" width="18.1328125" style="81" customWidth="1"/>
    <col min="2" max="23" width="9" style="81"/>
    <col min="24" max="24" width="12.1328125" style="81" bestFit="1" customWidth="1"/>
    <col min="25" max="25" width="13.1328125" style="81" bestFit="1" customWidth="1"/>
    <col min="26" max="16384" width="9" style="81"/>
  </cols>
  <sheetData>
    <row r="1" spans="1:25" s="82" customFormat="1" ht="42" thickBot="1" x14ac:dyDescent="0.4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  <c r="W1" s="4" t="s">
        <v>22</v>
      </c>
      <c r="X1" s="4" t="s">
        <v>23</v>
      </c>
      <c r="Y1" s="5" t="s">
        <v>24</v>
      </c>
    </row>
    <row r="2" spans="1:25" s="41" customFormat="1" x14ac:dyDescent="0.4">
      <c r="A2" s="39">
        <v>46258.426388888889</v>
      </c>
      <c r="B2" s="41">
        <v>8196.0547000000006</v>
      </c>
      <c r="C2" s="41">
        <v>1024</v>
      </c>
      <c r="D2" s="41">
        <v>128</v>
      </c>
      <c r="E2" s="41">
        <v>32</v>
      </c>
      <c r="F2" s="41">
        <v>28.919499999999999</v>
      </c>
      <c r="G2" s="41">
        <v>0</v>
      </c>
      <c r="H2" s="41">
        <v>1744.3</v>
      </c>
      <c r="I2" s="41">
        <v>4208</v>
      </c>
      <c r="J2" s="41">
        <v>25.9</v>
      </c>
      <c r="K2" s="41">
        <v>35.200000000000003</v>
      </c>
      <c r="L2" s="41">
        <v>125.1812666</v>
      </c>
      <c r="M2" s="41">
        <v>1047.0576000000001</v>
      </c>
      <c r="N2" s="41">
        <v>1047.0576000000001</v>
      </c>
      <c r="O2" s="41">
        <v>9427.6646000000001</v>
      </c>
      <c r="P2" s="41">
        <v>9427.6646000000001</v>
      </c>
      <c r="Q2" s="41">
        <v>1.0225</v>
      </c>
      <c r="R2" s="41">
        <v>61.35</v>
      </c>
      <c r="S2" s="41">
        <v>8380.607</v>
      </c>
      <c r="T2" s="41">
        <v>4698.8545000000004</v>
      </c>
      <c r="U2" s="41">
        <v>28282.7</v>
      </c>
      <c r="V2" s="41">
        <v>37818.9</v>
      </c>
      <c r="W2" s="42">
        <f t="shared" ref="W2" si="0">M2/16</f>
        <v>65.441100000000006</v>
      </c>
      <c r="X2" s="42">
        <f t="shared" ref="X2" si="1">O2/16</f>
        <v>589.2290375</v>
      </c>
      <c r="Y2" s="43" t="s">
        <v>28</v>
      </c>
    </row>
    <row r="3" spans="1:25" s="6" customFormat="1" x14ac:dyDescent="0.4">
      <c r="A3" s="33">
        <v>46258.429861111108</v>
      </c>
      <c r="B3" s="6">
        <v>8196.0508000000009</v>
      </c>
      <c r="C3" s="6">
        <v>1024</v>
      </c>
      <c r="D3" s="6">
        <v>256</v>
      </c>
      <c r="E3" s="6">
        <v>64</v>
      </c>
      <c r="F3" s="6">
        <v>57.084000000000003</v>
      </c>
      <c r="G3" s="6">
        <v>0</v>
      </c>
      <c r="H3" s="6">
        <v>2821.5</v>
      </c>
      <c r="I3" s="6">
        <v>6091.5</v>
      </c>
      <c r="J3" s="6">
        <v>40.700000000000003</v>
      </c>
      <c r="K3" s="6">
        <v>54.1</v>
      </c>
      <c r="L3" s="6">
        <v>199.48008709999999</v>
      </c>
      <c r="M3" s="6">
        <v>1314.1361999999999</v>
      </c>
      <c r="N3" s="6">
        <v>1314.1361999999999</v>
      </c>
      <c r="O3" s="6">
        <v>11832.4241</v>
      </c>
      <c r="P3" s="6">
        <v>11832.4241</v>
      </c>
      <c r="Q3" s="6">
        <v>1.2833000000000001</v>
      </c>
      <c r="R3" s="6">
        <v>76.998000000000005</v>
      </c>
      <c r="S3" s="6">
        <v>10518.288</v>
      </c>
      <c r="T3" s="6">
        <v>2904.8701000000001</v>
      </c>
      <c r="U3" s="6">
        <v>44480.9</v>
      </c>
      <c r="V3" s="6">
        <v>59327</v>
      </c>
      <c r="W3" s="9">
        <f t="shared" ref="W3:W16" si="2">M3/16</f>
        <v>82.133512499999995</v>
      </c>
      <c r="X3" s="9">
        <f t="shared" ref="X3:X16" si="3">O3/16</f>
        <v>739.52650625000001</v>
      </c>
      <c r="Y3" s="10" t="s">
        <v>28</v>
      </c>
    </row>
    <row r="4" spans="1:25" s="36" customFormat="1" ht="14.25" thickBot="1" x14ac:dyDescent="0.45">
      <c r="A4" s="34">
        <v>46258.435416666667</v>
      </c>
      <c r="B4" s="36">
        <v>8196.0547000000006</v>
      </c>
      <c r="C4" s="36">
        <v>1024</v>
      </c>
      <c r="D4" s="36">
        <v>512</v>
      </c>
      <c r="E4" s="36">
        <v>128</v>
      </c>
      <c r="F4" s="36">
        <v>117.1777</v>
      </c>
      <c r="G4" s="36">
        <v>0</v>
      </c>
      <c r="H4" s="36">
        <v>40113.9</v>
      </c>
      <c r="I4" s="36">
        <v>51799.199999999997</v>
      </c>
      <c r="J4" s="36">
        <v>40.5</v>
      </c>
      <c r="K4" s="36">
        <v>51.6</v>
      </c>
      <c r="L4" s="36">
        <v>356.33953769999999</v>
      </c>
      <c r="M4" s="36">
        <v>1471.3158000000001</v>
      </c>
      <c r="N4" s="36">
        <v>1471.3158000000001</v>
      </c>
      <c r="O4" s="36">
        <v>13247.668299999999</v>
      </c>
      <c r="P4" s="36">
        <v>13247.668299999999</v>
      </c>
      <c r="Q4" s="36">
        <v>1.4368000000000001</v>
      </c>
      <c r="R4" s="36">
        <v>86.207999999999998</v>
      </c>
      <c r="S4" s="36">
        <v>11776.352500000001</v>
      </c>
      <c r="T4" s="36">
        <v>204.31950000000001</v>
      </c>
      <c r="U4" s="36">
        <v>81552.800000000003</v>
      </c>
      <c r="V4" s="36">
        <v>101790.5</v>
      </c>
      <c r="W4" s="37">
        <f t="shared" si="2"/>
        <v>91.957237500000005</v>
      </c>
      <c r="X4" s="37">
        <f t="shared" si="3"/>
        <v>827.97926874999996</v>
      </c>
      <c r="Y4" s="38" t="s">
        <v>28</v>
      </c>
    </row>
    <row r="5" spans="1:25" s="41" customFormat="1" x14ac:dyDescent="0.4">
      <c r="A5" s="39">
        <v>46258.4375</v>
      </c>
      <c r="B5" s="41">
        <v>16388.101600000002</v>
      </c>
      <c r="C5" s="41">
        <v>1024</v>
      </c>
      <c r="D5" s="41">
        <v>128</v>
      </c>
      <c r="E5" s="41">
        <v>32</v>
      </c>
      <c r="F5" s="41">
        <v>29.719799999999999</v>
      </c>
      <c r="G5" s="41">
        <v>0</v>
      </c>
      <c r="H5" s="41">
        <v>1551.7</v>
      </c>
      <c r="I5" s="41">
        <v>3448.3</v>
      </c>
      <c r="J5" s="41">
        <v>22.7</v>
      </c>
      <c r="K5" s="41">
        <v>28</v>
      </c>
      <c r="L5" s="41">
        <v>106.67345419999999</v>
      </c>
      <c r="M5" s="41">
        <v>1228.7218</v>
      </c>
      <c r="N5" s="41">
        <v>1228.7218</v>
      </c>
      <c r="O5" s="41">
        <v>20893.1924</v>
      </c>
      <c r="P5" s="41">
        <v>20893.1924</v>
      </c>
      <c r="Q5" s="41">
        <v>1.1999</v>
      </c>
      <c r="R5" s="41">
        <v>71.994</v>
      </c>
      <c r="S5" s="41">
        <v>19664.470600000001</v>
      </c>
      <c r="T5" s="41">
        <v>10561.6785</v>
      </c>
      <c r="U5" s="41">
        <v>24768.1</v>
      </c>
      <c r="V5" s="41">
        <v>30207.599999999999</v>
      </c>
      <c r="W5" s="42">
        <f t="shared" si="2"/>
        <v>76.795112500000002</v>
      </c>
      <c r="X5" s="42">
        <f t="shared" si="3"/>
        <v>1305.824525</v>
      </c>
      <c r="Y5" s="43" t="s">
        <v>28</v>
      </c>
    </row>
    <row r="6" spans="1:25" s="6" customFormat="1" x14ac:dyDescent="0.4">
      <c r="A6" s="33">
        <v>46258.440972222219</v>
      </c>
      <c r="B6" s="6">
        <v>16388.0586</v>
      </c>
      <c r="C6" s="6">
        <v>1024</v>
      </c>
      <c r="D6" s="6">
        <v>256</v>
      </c>
      <c r="E6" s="6">
        <v>64</v>
      </c>
      <c r="F6" s="6">
        <v>57.1768</v>
      </c>
      <c r="G6" s="6">
        <v>0</v>
      </c>
      <c r="H6" s="6">
        <v>3228</v>
      </c>
      <c r="I6" s="6">
        <v>5740.1</v>
      </c>
      <c r="J6" s="6">
        <v>37.700000000000003</v>
      </c>
      <c r="K6" s="6">
        <v>50.2</v>
      </c>
      <c r="L6" s="6">
        <v>187.1618278</v>
      </c>
      <c r="M6" s="6">
        <v>1400.6275000000001</v>
      </c>
      <c r="N6" s="6">
        <v>1400.6275000000001</v>
      </c>
      <c r="O6" s="6">
        <v>23816.2186</v>
      </c>
      <c r="P6" s="6">
        <v>23816.2186</v>
      </c>
      <c r="Q6" s="6">
        <v>1.3677999999999999</v>
      </c>
      <c r="R6" s="6">
        <v>82.067999999999998</v>
      </c>
      <c r="S6" s="6">
        <v>22415.591100000001</v>
      </c>
      <c r="T6" s="6">
        <v>5076.8679000000002</v>
      </c>
      <c r="U6" s="6">
        <v>41802</v>
      </c>
      <c r="V6" s="6">
        <v>54231.199999999997</v>
      </c>
      <c r="W6" s="9">
        <f t="shared" si="2"/>
        <v>87.539218750000003</v>
      </c>
      <c r="X6" s="9">
        <f t="shared" si="3"/>
        <v>1488.5136625</v>
      </c>
      <c r="Y6" s="10" t="s">
        <v>28</v>
      </c>
    </row>
    <row r="7" spans="1:25" s="36" customFormat="1" ht="14.25" thickBot="1" x14ac:dyDescent="0.45">
      <c r="A7" s="34">
        <v>46258.447222222225</v>
      </c>
      <c r="B7" s="36">
        <v>16388.0566</v>
      </c>
      <c r="C7" s="36">
        <v>1024</v>
      </c>
      <c r="D7" s="36">
        <v>512</v>
      </c>
      <c r="E7" s="36">
        <v>128</v>
      </c>
      <c r="F7" s="36">
        <v>115.8004</v>
      </c>
      <c r="G7" s="36">
        <v>0</v>
      </c>
      <c r="H7" s="36">
        <v>43660</v>
      </c>
      <c r="I7" s="36">
        <v>55020.800000000003</v>
      </c>
      <c r="J7" s="36">
        <v>43.8</v>
      </c>
      <c r="K7" s="36">
        <v>54.5</v>
      </c>
      <c r="L7" s="36">
        <v>390.97387520000001</v>
      </c>
      <c r="M7" s="36">
        <v>1340.9795999999999</v>
      </c>
      <c r="N7" s="36">
        <v>1340.9795999999999</v>
      </c>
      <c r="O7" s="36">
        <v>22801.966</v>
      </c>
      <c r="P7" s="36">
        <v>22801.966</v>
      </c>
      <c r="Q7" s="36">
        <v>1.3096000000000001</v>
      </c>
      <c r="R7" s="36">
        <v>78.575999999999993</v>
      </c>
      <c r="S7" s="36">
        <v>21460.986400000002</v>
      </c>
      <c r="T7" s="36">
        <v>375.3562</v>
      </c>
      <c r="U7" s="36">
        <v>88427.6</v>
      </c>
      <c r="V7" s="36">
        <v>111224.6</v>
      </c>
      <c r="W7" s="37">
        <f t="shared" si="2"/>
        <v>83.811224999999993</v>
      </c>
      <c r="X7" s="37">
        <f t="shared" si="3"/>
        <v>1425.122875</v>
      </c>
      <c r="Y7" s="38" t="s">
        <v>28</v>
      </c>
    </row>
    <row r="8" spans="1:25" customFormat="1" x14ac:dyDescent="0.4">
      <c r="A8" s="1">
        <v>46258.45</v>
      </c>
      <c r="B8">
        <v>32771.976600000002</v>
      </c>
      <c r="C8">
        <v>1024</v>
      </c>
      <c r="D8">
        <v>128</v>
      </c>
      <c r="E8">
        <v>32</v>
      </c>
      <c r="F8">
        <v>23.535499999999999</v>
      </c>
      <c r="G8">
        <v>0</v>
      </c>
      <c r="H8">
        <v>2254.3000000000002</v>
      </c>
      <c r="I8">
        <v>4333.1000000000004</v>
      </c>
      <c r="J8">
        <v>18.3</v>
      </c>
      <c r="K8">
        <v>22.4</v>
      </c>
      <c r="L8">
        <v>114.01871800000001</v>
      </c>
      <c r="M8">
        <v>1149.5655999999999</v>
      </c>
      <c r="N8">
        <v>1149.5655999999999</v>
      </c>
      <c r="O8">
        <v>37940.130100000002</v>
      </c>
      <c r="P8">
        <v>37940.130100000002</v>
      </c>
      <c r="Q8">
        <v>1.1226</v>
      </c>
      <c r="R8">
        <v>67.355999999999995</v>
      </c>
      <c r="S8">
        <v>36790.5645</v>
      </c>
      <c r="T8">
        <v>14537.3742</v>
      </c>
      <c r="U8">
        <v>20964.7</v>
      </c>
      <c r="V8">
        <v>25705.200000000001</v>
      </c>
      <c r="W8" s="9">
        <f t="shared" si="2"/>
        <v>71.847849999999994</v>
      </c>
      <c r="X8" s="9">
        <f t="shared" si="3"/>
        <v>2371.2581312500001</v>
      </c>
      <c r="Y8" s="10" t="s">
        <v>28</v>
      </c>
    </row>
    <row r="9" spans="1:25" customFormat="1" x14ac:dyDescent="0.4">
      <c r="A9" s="1">
        <v>46258.453472222223</v>
      </c>
      <c r="B9">
        <v>32772.058599999997</v>
      </c>
      <c r="C9">
        <v>1024</v>
      </c>
      <c r="D9">
        <v>256</v>
      </c>
      <c r="E9">
        <v>64</v>
      </c>
      <c r="F9">
        <v>60.165199999999999</v>
      </c>
      <c r="G9">
        <v>0</v>
      </c>
      <c r="H9">
        <v>3390.7</v>
      </c>
      <c r="I9">
        <v>6826.1</v>
      </c>
      <c r="J9">
        <v>38.799999999999997</v>
      </c>
      <c r="K9">
        <v>52.4</v>
      </c>
      <c r="L9">
        <v>183.36165700000001</v>
      </c>
      <c r="M9">
        <v>1429.6555000000001</v>
      </c>
      <c r="N9">
        <v>1429.6555000000001</v>
      </c>
      <c r="O9">
        <v>47184.297599999998</v>
      </c>
      <c r="P9">
        <v>47184.297599999998</v>
      </c>
      <c r="Q9">
        <v>1.3960999999999999</v>
      </c>
      <c r="R9">
        <v>83.766000000000005</v>
      </c>
      <c r="S9">
        <v>45754.642099999997</v>
      </c>
      <c r="T9">
        <v>9665.4181000000008</v>
      </c>
      <c r="U9">
        <v>43093.7</v>
      </c>
      <c r="V9">
        <v>56229.7</v>
      </c>
      <c r="W9" s="9">
        <f t="shared" si="2"/>
        <v>89.353468750000005</v>
      </c>
      <c r="X9" s="9">
        <f t="shared" si="3"/>
        <v>2949.0185999999999</v>
      </c>
      <c r="Y9" s="10" t="s">
        <v>28</v>
      </c>
    </row>
    <row r="10" spans="1:25" customFormat="1" ht="14.25" thickBot="1" x14ac:dyDescent="0.45">
      <c r="A10" s="1">
        <v>46258.459027777775</v>
      </c>
      <c r="B10">
        <v>32772.0645</v>
      </c>
      <c r="C10">
        <v>1024</v>
      </c>
      <c r="D10">
        <v>512</v>
      </c>
      <c r="E10">
        <v>128</v>
      </c>
      <c r="F10">
        <v>115.5669</v>
      </c>
      <c r="G10">
        <v>0</v>
      </c>
      <c r="H10">
        <v>44130.400000000001</v>
      </c>
      <c r="I10">
        <v>55703.3</v>
      </c>
      <c r="J10">
        <v>44.2</v>
      </c>
      <c r="K10">
        <v>57.1</v>
      </c>
      <c r="L10">
        <v>395.75095290000002</v>
      </c>
      <c r="M10">
        <v>1324.7927999999999</v>
      </c>
      <c r="N10">
        <v>1324.7927999999999</v>
      </c>
      <c r="O10">
        <v>43723.419699999999</v>
      </c>
      <c r="P10">
        <v>43723.419699999999</v>
      </c>
      <c r="Q10">
        <v>1.2937000000000001</v>
      </c>
      <c r="R10">
        <v>77.622</v>
      </c>
      <c r="S10">
        <v>42398.626900000003</v>
      </c>
      <c r="T10">
        <v>742.61860000000001</v>
      </c>
      <c r="U10">
        <v>89327.5</v>
      </c>
      <c r="V10">
        <v>110900.4</v>
      </c>
      <c r="W10" s="9">
        <f t="shared" si="2"/>
        <v>82.799549999999996</v>
      </c>
      <c r="X10" s="9">
        <f t="shared" si="3"/>
        <v>2732.7137312499999</v>
      </c>
      <c r="Y10" s="10" t="s">
        <v>28</v>
      </c>
    </row>
    <row r="11" spans="1:25" s="41" customFormat="1" x14ac:dyDescent="0.4">
      <c r="A11" s="39">
        <v>46258.461805555555</v>
      </c>
      <c r="B11" s="41">
        <v>65540.0625</v>
      </c>
      <c r="C11" s="41">
        <v>1024</v>
      </c>
      <c r="D11" s="41">
        <v>64</v>
      </c>
      <c r="E11" s="41">
        <v>16</v>
      </c>
      <c r="F11" s="41">
        <v>14.953200000000001</v>
      </c>
      <c r="G11" s="41">
        <v>0</v>
      </c>
      <c r="H11" s="41">
        <v>3027</v>
      </c>
      <c r="I11" s="41">
        <v>4772.5</v>
      </c>
      <c r="J11" s="41">
        <v>21.5</v>
      </c>
      <c r="K11" s="41">
        <v>28.1</v>
      </c>
      <c r="L11" s="41">
        <v>107.1198275</v>
      </c>
      <c r="M11" s="41">
        <v>611.80079999999998</v>
      </c>
      <c r="N11" s="41">
        <v>611.80079999999998</v>
      </c>
      <c r="O11" s="41">
        <v>39769.481500000002</v>
      </c>
      <c r="P11" s="41">
        <v>39769.481500000002</v>
      </c>
      <c r="Q11" s="41">
        <v>0.59750000000000003</v>
      </c>
      <c r="R11" s="41">
        <v>35.85</v>
      </c>
      <c r="S11" s="41">
        <v>39157.680699999997</v>
      </c>
      <c r="T11" s="41">
        <v>21652.1266</v>
      </c>
      <c r="U11" s="41">
        <v>25027.8</v>
      </c>
      <c r="V11" s="41">
        <v>31544.2</v>
      </c>
      <c r="W11" s="42">
        <f t="shared" si="2"/>
        <v>38.237549999999999</v>
      </c>
      <c r="X11" s="42">
        <f t="shared" si="3"/>
        <v>2485.5925937500001</v>
      </c>
      <c r="Y11" s="43" t="s">
        <v>28</v>
      </c>
    </row>
    <row r="12" spans="1:25" s="6" customFormat="1" x14ac:dyDescent="0.4">
      <c r="A12" s="33">
        <v>46258.465277777781</v>
      </c>
      <c r="B12" s="6">
        <v>65540.093800000002</v>
      </c>
      <c r="C12" s="6">
        <v>1024</v>
      </c>
      <c r="D12" s="6">
        <v>128</v>
      </c>
      <c r="E12" s="6">
        <v>32</v>
      </c>
      <c r="F12" s="6">
        <v>28.797699999999999</v>
      </c>
      <c r="G12" s="6">
        <v>0</v>
      </c>
      <c r="H12" s="6">
        <v>3608.3</v>
      </c>
      <c r="I12" s="6">
        <v>7449.2</v>
      </c>
      <c r="J12" s="6">
        <v>32.5</v>
      </c>
      <c r="K12" s="6">
        <v>46.6</v>
      </c>
      <c r="L12" s="6">
        <v>163.6870868</v>
      </c>
      <c r="M12" s="6">
        <v>800.7473</v>
      </c>
      <c r="N12" s="6">
        <v>800.7473</v>
      </c>
      <c r="O12" s="6">
        <v>52051.778599999998</v>
      </c>
      <c r="P12" s="6">
        <v>52051.778599999998</v>
      </c>
      <c r="Q12" s="6">
        <v>0.78200000000000003</v>
      </c>
      <c r="R12" s="6">
        <v>46.92</v>
      </c>
      <c r="S12" s="6">
        <v>51251.031199999998</v>
      </c>
      <c r="T12" s="6">
        <v>18163.6149</v>
      </c>
      <c r="U12" s="6">
        <v>36826.699999999997</v>
      </c>
      <c r="V12" s="6">
        <v>50939.3</v>
      </c>
      <c r="W12" s="9">
        <f t="shared" si="2"/>
        <v>50.04670625</v>
      </c>
      <c r="X12" s="9">
        <f t="shared" si="3"/>
        <v>3253.2361624999999</v>
      </c>
      <c r="Y12" s="10" t="s">
        <v>28</v>
      </c>
    </row>
    <row r="13" spans="1:25" s="36" customFormat="1" ht="14.25" thickBot="1" x14ac:dyDescent="0.45">
      <c r="A13" s="34">
        <v>46258.469444444447</v>
      </c>
      <c r="B13" s="36">
        <v>65539.960900000005</v>
      </c>
      <c r="C13" s="36">
        <v>1024</v>
      </c>
      <c r="D13" s="36">
        <v>256</v>
      </c>
      <c r="E13" s="36">
        <v>64</v>
      </c>
      <c r="F13" s="36">
        <v>58.357700000000001</v>
      </c>
      <c r="G13" s="36">
        <v>0</v>
      </c>
      <c r="H13" s="36">
        <v>5371.2</v>
      </c>
      <c r="I13" s="36">
        <v>12623.9</v>
      </c>
      <c r="J13" s="36">
        <v>48.1</v>
      </c>
      <c r="K13" s="36">
        <v>62.4</v>
      </c>
      <c r="L13" s="36">
        <v>239.40471210000001</v>
      </c>
      <c r="M13" s="36">
        <v>1094.9826</v>
      </c>
      <c r="N13" s="36">
        <v>1094.9826</v>
      </c>
      <c r="O13" s="36">
        <v>71178.106100000005</v>
      </c>
      <c r="P13" s="36">
        <v>71178.106100000005</v>
      </c>
      <c r="Q13" s="36">
        <v>1.0692999999999999</v>
      </c>
      <c r="R13" s="36">
        <v>64.158000000000001</v>
      </c>
      <c r="S13" s="36">
        <v>70083.123500000002</v>
      </c>
      <c r="T13" s="36">
        <v>12202.1386</v>
      </c>
      <c r="U13" s="36">
        <v>54574.6</v>
      </c>
      <c r="V13" s="36">
        <v>69701.399999999994</v>
      </c>
      <c r="W13" s="37">
        <f t="shared" si="2"/>
        <v>68.436412500000003</v>
      </c>
      <c r="X13" s="37">
        <f t="shared" si="3"/>
        <v>4448.6316312500003</v>
      </c>
      <c r="Y13" s="38" t="s">
        <v>28</v>
      </c>
    </row>
    <row r="14" spans="1:25" customFormat="1" x14ac:dyDescent="0.4">
      <c r="A14" s="1">
        <v>46258.472222222219</v>
      </c>
      <c r="B14">
        <v>131076.0625</v>
      </c>
      <c r="C14">
        <v>1024</v>
      </c>
      <c r="D14">
        <v>64</v>
      </c>
      <c r="E14">
        <v>16</v>
      </c>
      <c r="F14">
        <v>14.608599999999999</v>
      </c>
      <c r="G14">
        <v>0</v>
      </c>
      <c r="H14">
        <v>5616.7</v>
      </c>
      <c r="I14">
        <v>9538.4</v>
      </c>
      <c r="J14">
        <v>27.1</v>
      </c>
      <c r="K14">
        <v>36.1</v>
      </c>
      <c r="L14">
        <v>145.994393</v>
      </c>
      <c r="M14">
        <v>448.89400000000001</v>
      </c>
      <c r="N14">
        <v>448.89400000000001</v>
      </c>
      <c r="O14">
        <v>57909.100700000003</v>
      </c>
      <c r="P14">
        <v>57909.100700000003</v>
      </c>
      <c r="Q14">
        <v>0.43840000000000001</v>
      </c>
      <c r="R14">
        <v>26.303999999999998</v>
      </c>
      <c r="S14">
        <v>57460.206700000002</v>
      </c>
      <c r="T14">
        <v>23336.688600000001</v>
      </c>
      <c r="U14">
        <v>33324.6</v>
      </c>
      <c r="V14">
        <v>42658.7</v>
      </c>
      <c r="W14" s="9">
        <f t="shared" si="2"/>
        <v>28.055875</v>
      </c>
      <c r="X14" s="9">
        <f t="shared" si="3"/>
        <v>3619.3187937500002</v>
      </c>
      <c r="Y14" s="10" t="s">
        <v>28</v>
      </c>
    </row>
    <row r="15" spans="1:25" customFormat="1" x14ac:dyDescent="0.4">
      <c r="A15" s="1">
        <v>46258.476388888892</v>
      </c>
      <c r="B15">
        <v>131076.10159999999</v>
      </c>
      <c r="C15">
        <v>1024</v>
      </c>
      <c r="D15">
        <v>128</v>
      </c>
      <c r="E15">
        <v>32</v>
      </c>
      <c r="F15">
        <v>28.491599999999998</v>
      </c>
      <c r="G15">
        <v>0</v>
      </c>
      <c r="H15">
        <v>6616.8</v>
      </c>
      <c r="I15">
        <v>14722.9</v>
      </c>
      <c r="J15">
        <v>38.200000000000003</v>
      </c>
      <c r="K15">
        <v>50.1</v>
      </c>
      <c r="L15">
        <v>205.14481359999999</v>
      </c>
      <c r="M15">
        <v>638.92430000000002</v>
      </c>
      <c r="N15">
        <v>638.92430000000002</v>
      </c>
      <c r="O15">
        <v>82423.789799999999</v>
      </c>
      <c r="P15">
        <v>82423.789799999999</v>
      </c>
      <c r="Q15">
        <v>0.62390000000000001</v>
      </c>
      <c r="R15">
        <v>37.433999999999997</v>
      </c>
      <c r="S15">
        <v>81784.865600000005</v>
      </c>
      <c r="T15">
        <v>19809.5975</v>
      </c>
      <c r="U15">
        <v>45663.199999999997</v>
      </c>
      <c r="V15">
        <v>58091.7</v>
      </c>
      <c r="W15" s="9">
        <f t="shared" si="2"/>
        <v>39.932768750000001</v>
      </c>
      <c r="X15" s="9">
        <f t="shared" si="3"/>
        <v>5151.4868624999999</v>
      </c>
      <c r="Y15" s="10" t="s">
        <v>28</v>
      </c>
    </row>
    <row r="16" spans="1:25" customFormat="1" ht="14.25" thickBot="1" x14ac:dyDescent="0.45">
      <c r="A16" s="1">
        <v>46258.481249999997</v>
      </c>
      <c r="B16">
        <v>131076.05859999999</v>
      </c>
      <c r="C16">
        <v>1024</v>
      </c>
      <c r="D16">
        <v>256</v>
      </c>
      <c r="E16">
        <v>64</v>
      </c>
      <c r="F16">
        <v>58.628300000000003</v>
      </c>
      <c r="G16">
        <v>0</v>
      </c>
      <c r="H16">
        <v>9399.1</v>
      </c>
      <c r="I16">
        <v>25781.9</v>
      </c>
      <c r="J16">
        <v>60.1</v>
      </c>
      <c r="K16">
        <v>79.5</v>
      </c>
      <c r="L16">
        <v>309.54142489999998</v>
      </c>
      <c r="M16">
        <v>846.87860000000001</v>
      </c>
      <c r="N16">
        <v>846.87860000000001</v>
      </c>
      <c r="O16">
        <v>109250.6924</v>
      </c>
      <c r="P16">
        <v>109250.6924</v>
      </c>
      <c r="Q16">
        <v>0.82699999999999996</v>
      </c>
      <c r="R16">
        <v>49.62</v>
      </c>
      <c r="S16">
        <v>108403.8138</v>
      </c>
      <c r="T16">
        <v>13945.604600000001</v>
      </c>
      <c r="U16">
        <v>70890.2</v>
      </c>
      <c r="V16">
        <v>98657.3</v>
      </c>
      <c r="W16" s="9">
        <f t="shared" si="2"/>
        <v>52.9299125</v>
      </c>
      <c r="X16" s="9">
        <f t="shared" si="3"/>
        <v>6828.168275</v>
      </c>
      <c r="Y16" s="10" t="s">
        <v>28</v>
      </c>
    </row>
    <row r="17" spans="1:25" s="41" customFormat="1" x14ac:dyDescent="0.4">
      <c r="A17" s="39">
        <v>46255.856516203705</v>
      </c>
      <c r="B17" s="41">
        <v>262152.125</v>
      </c>
      <c r="C17" s="41">
        <v>1024</v>
      </c>
      <c r="D17" s="41">
        <v>16</v>
      </c>
      <c r="E17" s="41">
        <v>4</v>
      </c>
      <c r="F17" s="41">
        <v>3.7189000000000001</v>
      </c>
      <c r="G17" s="41">
        <v>0</v>
      </c>
      <c r="H17" s="41">
        <v>5809.6</v>
      </c>
      <c r="I17" s="41">
        <v>11248.6</v>
      </c>
      <c r="J17" s="41">
        <v>16.5</v>
      </c>
      <c r="K17" s="41">
        <v>25.9</v>
      </c>
      <c r="L17" s="41">
        <v>97.428050600000006</v>
      </c>
      <c r="M17" s="41">
        <v>168.1651</v>
      </c>
      <c r="N17" s="41">
        <v>168.1651</v>
      </c>
      <c r="O17" s="41">
        <v>43219.770600000003</v>
      </c>
      <c r="P17" s="41">
        <v>43219.770600000003</v>
      </c>
      <c r="Q17" s="41">
        <v>0.16420000000000001</v>
      </c>
      <c r="R17" s="41">
        <v>9.8520000000000003</v>
      </c>
      <c r="S17" s="41">
        <v>43051.605499999998</v>
      </c>
      <c r="T17" s="41">
        <v>45124.308400000002</v>
      </c>
      <c r="U17" s="41">
        <v>22645.5</v>
      </c>
      <c r="V17" s="41">
        <v>33341.300000000003</v>
      </c>
      <c r="W17" s="42">
        <f t="shared" ref="W17:W24" si="4">M17/16</f>
        <v>10.51031875</v>
      </c>
      <c r="X17" s="42">
        <f t="shared" ref="X17:X24" si="5">O17/16</f>
        <v>2701.2356625000002</v>
      </c>
      <c r="Y17" s="43" t="s">
        <v>29</v>
      </c>
    </row>
    <row r="18" spans="1:25" s="36" customFormat="1" ht="14.25" thickBot="1" x14ac:dyDescent="0.45">
      <c r="A18" s="34">
        <v>46255.860300925924</v>
      </c>
      <c r="B18" s="36">
        <v>262152.0625</v>
      </c>
      <c r="C18" s="36">
        <v>1024</v>
      </c>
      <c r="D18" s="36">
        <v>32</v>
      </c>
      <c r="E18" s="36">
        <v>8</v>
      </c>
      <c r="F18" s="36">
        <v>7.1917</v>
      </c>
      <c r="G18" s="36">
        <v>0</v>
      </c>
      <c r="H18" s="36">
        <v>18641.099999999999</v>
      </c>
      <c r="I18" s="36">
        <v>23629.599999999999</v>
      </c>
      <c r="J18" s="36">
        <v>15.7</v>
      </c>
      <c r="K18" s="36">
        <v>19.3</v>
      </c>
      <c r="L18" s="36">
        <v>154.5042918</v>
      </c>
      <c r="M18" s="36">
        <v>212.0847</v>
      </c>
      <c r="N18" s="36">
        <v>212.0847</v>
      </c>
      <c r="O18" s="36">
        <v>54507.443800000001</v>
      </c>
      <c r="P18" s="36">
        <v>54507.443800000001</v>
      </c>
      <c r="Q18" s="36">
        <v>0.20710000000000001</v>
      </c>
      <c r="R18" s="36">
        <v>12.426</v>
      </c>
      <c r="S18" s="36">
        <v>54295.359100000001</v>
      </c>
      <c r="T18" s="36">
        <v>14063.127899999999</v>
      </c>
      <c r="U18" s="36">
        <v>34723.4</v>
      </c>
      <c r="V18" s="36">
        <v>46833.7</v>
      </c>
      <c r="W18" s="37">
        <f t="shared" si="4"/>
        <v>13.25529375</v>
      </c>
      <c r="X18" s="37">
        <f t="shared" si="5"/>
        <v>3406.7152375000001</v>
      </c>
      <c r="Y18" s="38" t="s">
        <v>29</v>
      </c>
    </row>
    <row r="19" spans="1:25" customFormat="1" x14ac:dyDescent="0.4">
      <c r="A19" s="1">
        <v>46255.864618055559</v>
      </c>
      <c r="B19">
        <v>524292.125</v>
      </c>
      <c r="C19">
        <v>1024</v>
      </c>
      <c r="D19">
        <v>16</v>
      </c>
      <c r="E19">
        <v>4</v>
      </c>
      <c r="F19">
        <v>3.4613</v>
      </c>
      <c r="G19">
        <v>0</v>
      </c>
      <c r="H19">
        <v>10659.9</v>
      </c>
      <c r="I19">
        <v>14915.8</v>
      </c>
      <c r="J19">
        <v>17.2</v>
      </c>
      <c r="K19">
        <v>27.3</v>
      </c>
      <c r="L19">
        <v>130.4795172</v>
      </c>
      <c r="M19">
        <v>125.5676</v>
      </c>
      <c r="N19">
        <v>125.5676</v>
      </c>
      <c r="O19">
        <v>64416.685299999997</v>
      </c>
      <c r="P19">
        <v>64416.685299999997</v>
      </c>
      <c r="Q19">
        <v>0.1226</v>
      </c>
      <c r="R19">
        <v>7.3559999999999999</v>
      </c>
      <c r="S19">
        <v>64291.117700000003</v>
      </c>
      <c r="T19">
        <v>49183.479599999999</v>
      </c>
      <c r="U19">
        <v>28226.9</v>
      </c>
      <c r="V19">
        <v>41304.5</v>
      </c>
      <c r="W19" s="9">
        <f t="shared" si="4"/>
        <v>7.8479749999999999</v>
      </c>
      <c r="X19" s="9">
        <f t="shared" si="5"/>
        <v>4026.0428312499998</v>
      </c>
      <c r="Y19" s="10" t="s">
        <v>29</v>
      </c>
    </row>
    <row r="20" spans="1:25" customFormat="1" ht="14.25" thickBot="1" x14ac:dyDescent="0.45">
      <c r="A20" s="1">
        <v>46255.869826388887</v>
      </c>
      <c r="B20">
        <v>524292.0625</v>
      </c>
      <c r="C20">
        <v>1024</v>
      </c>
      <c r="D20">
        <v>32</v>
      </c>
      <c r="E20">
        <v>8</v>
      </c>
      <c r="F20">
        <v>7.3517000000000001</v>
      </c>
      <c r="G20">
        <v>0</v>
      </c>
      <c r="H20">
        <v>26949.5</v>
      </c>
      <c r="I20">
        <v>42736</v>
      </c>
      <c r="J20">
        <v>21.1</v>
      </c>
      <c r="K20">
        <v>44.8</v>
      </c>
      <c r="L20">
        <v>211.48115709999999</v>
      </c>
      <c r="M20">
        <v>154.9452</v>
      </c>
      <c r="N20">
        <v>154.9452</v>
      </c>
      <c r="O20">
        <v>79487.526100000003</v>
      </c>
      <c r="P20">
        <v>79487.526100000003</v>
      </c>
      <c r="Q20">
        <v>0.15129999999999999</v>
      </c>
      <c r="R20">
        <v>9.0779999999999994</v>
      </c>
      <c r="S20">
        <v>79332.580900000001</v>
      </c>
      <c r="T20">
        <v>19454.6469</v>
      </c>
      <c r="U20">
        <v>48585.8</v>
      </c>
      <c r="V20">
        <v>76970.5</v>
      </c>
      <c r="W20" s="9">
        <f t="shared" si="4"/>
        <v>9.684075</v>
      </c>
      <c r="X20" s="9">
        <f t="shared" si="5"/>
        <v>4967.9703812500002</v>
      </c>
      <c r="Y20" s="10" t="s">
        <v>29</v>
      </c>
    </row>
    <row r="21" spans="1:25" s="41" customFormat="1" x14ac:dyDescent="0.4">
      <c r="A21" s="39">
        <v>46255.875150462962</v>
      </c>
      <c r="B21" s="41">
        <v>768436.1875</v>
      </c>
      <c r="C21" s="41">
        <v>1024</v>
      </c>
      <c r="D21" s="41">
        <v>16</v>
      </c>
      <c r="E21" s="41">
        <v>4</v>
      </c>
      <c r="F21" s="41">
        <v>3.6192000000000002</v>
      </c>
      <c r="G21" s="41">
        <v>0</v>
      </c>
      <c r="H21" s="41">
        <v>16110.1</v>
      </c>
      <c r="I21" s="41">
        <v>20447.599999999999</v>
      </c>
      <c r="J21" s="41">
        <v>20.2</v>
      </c>
      <c r="K21" s="41">
        <v>36.200000000000003</v>
      </c>
      <c r="L21" s="41">
        <v>162.50012770000001</v>
      </c>
      <c r="M21" s="41">
        <v>100.8245</v>
      </c>
      <c r="N21" s="41">
        <v>100.8245</v>
      </c>
      <c r="O21" s="41">
        <v>75762.174299999999</v>
      </c>
      <c r="P21" s="41">
        <v>75762.174299999999</v>
      </c>
      <c r="Q21" s="41">
        <v>9.8500000000000004E-2</v>
      </c>
      <c r="R21" s="41">
        <v>5.91</v>
      </c>
      <c r="S21" s="41">
        <v>75661.349799999996</v>
      </c>
      <c r="T21" s="41">
        <v>47699.1806</v>
      </c>
      <c r="U21" s="41">
        <v>36757.4</v>
      </c>
      <c r="V21" s="41">
        <v>66708.100000000006</v>
      </c>
      <c r="W21" s="42">
        <f t="shared" si="4"/>
        <v>6.30153125</v>
      </c>
      <c r="X21" s="42">
        <f t="shared" si="5"/>
        <v>4735.1358937499999</v>
      </c>
      <c r="Y21" s="43" t="s">
        <v>29</v>
      </c>
    </row>
    <row r="22" spans="1:25" s="36" customFormat="1" ht="14.25" thickBot="1" x14ac:dyDescent="0.45">
      <c r="A22" s="34">
        <v>46255.881585648145</v>
      </c>
      <c r="B22" s="36">
        <v>768436.03119999997</v>
      </c>
      <c r="C22" s="36">
        <v>1024</v>
      </c>
      <c r="D22" s="36">
        <v>32</v>
      </c>
      <c r="E22" s="36">
        <v>8</v>
      </c>
      <c r="F22" s="36">
        <v>7.1764000000000001</v>
      </c>
      <c r="G22" s="36">
        <v>0</v>
      </c>
      <c r="H22" s="36">
        <v>30690.400000000001</v>
      </c>
      <c r="I22" s="36">
        <v>46775.1</v>
      </c>
      <c r="J22" s="36">
        <v>22.5</v>
      </c>
      <c r="K22" s="36">
        <v>41.8</v>
      </c>
      <c r="L22" s="36">
        <v>239.3944027</v>
      </c>
      <c r="M22" s="36">
        <v>136.87870000000001</v>
      </c>
      <c r="N22" s="36">
        <v>136.87870000000001</v>
      </c>
      <c r="O22" s="36">
        <v>102854.20510000001</v>
      </c>
      <c r="P22" s="36">
        <v>102854.20510000001</v>
      </c>
      <c r="Q22" s="36">
        <v>0.13370000000000001</v>
      </c>
      <c r="R22" s="36">
        <v>8.0220000000000002</v>
      </c>
      <c r="S22" s="36">
        <v>102717.32640000001</v>
      </c>
      <c r="T22" s="36">
        <v>25038.283200000002</v>
      </c>
      <c r="U22" s="36">
        <v>53687.4</v>
      </c>
      <c r="V22" s="36">
        <v>92904.7</v>
      </c>
      <c r="W22" s="37">
        <f t="shared" si="4"/>
        <v>8.5549187500000006</v>
      </c>
      <c r="X22" s="37">
        <f t="shared" si="5"/>
        <v>6428.3878187500004</v>
      </c>
      <c r="Y22" s="38" t="s">
        <v>29</v>
      </c>
    </row>
    <row r="23" spans="1:25" customFormat="1" x14ac:dyDescent="0.4">
      <c r="A23" s="1">
        <v>46255.886921296296</v>
      </c>
      <c r="B23">
        <v>1047530</v>
      </c>
      <c r="C23">
        <v>1024</v>
      </c>
      <c r="D23">
        <v>4</v>
      </c>
      <c r="E23">
        <v>1</v>
      </c>
      <c r="F23">
        <v>0.99870000000000003</v>
      </c>
      <c r="G23">
        <v>0</v>
      </c>
      <c r="H23">
        <v>10950</v>
      </c>
      <c r="I23">
        <v>11049.8</v>
      </c>
      <c r="J23">
        <v>12.6</v>
      </c>
      <c r="K23">
        <v>16.2</v>
      </c>
      <c r="L23">
        <v>95.472699800000001</v>
      </c>
      <c r="M23">
        <v>42.902299999999997</v>
      </c>
      <c r="N23">
        <v>42.902299999999997</v>
      </c>
      <c r="O23">
        <v>43931.050600000002</v>
      </c>
      <c r="P23">
        <v>43931.050600000002</v>
      </c>
      <c r="Q23">
        <v>4.19E-2</v>
      </c>
      <c r="R23">
        <v>2.5139999999999998</v>
      </c>
      <c r="S23">
        <v>43888.148200000003</v>
      </c>
      <c r="T23">
        <v>95665.022599999997</v>
      </c>
      <c r="U23">
        <v>23838.2</v>
      </c>
      <c r="V23">
        <v>27512.2</v>
      </c>
      <c r="W23" s="9">
        <f t="shared" si="4"/>
        <v>2.6813937499999998</v>
      </c>
      <c r="X23" s="9">
        <f t="shared" si="5"/>
        <v>2745.6906625000001</v>
      </c>
      <c r="Y23" s="10" t="s">
        <v>29</v>
      </c>
    </row>
    <row r="24" spans="1:25" customFormat="1" x14ac:dyDescent="0.4">
      <c r="A24" s="1">
        <v>46255.893113425926</v>
      </c>
      <c r="B24">
        <v>1047530.25</v>
      </c>
      <c r="C24">
        <v>1024</v>
      </c>
      <c r="D24">
        <v>8</v>
      </c>
      <c r="E24">
        <v>2</v>
      </c>
      <c r="F24">
        <v>1.8916999999999999</v>
      </c>
      <c r="G24">
        <v>0</v>
      </c>
      <c r="H24">
        <v>14215.7</v>
      </c>
      <c r="I24">
        <v>16361</v>
      </c>
      <c r="J24">
        <v>23.8</v>
      </c>
      <c r="K24">
        <v>49.3</v>
      </c>
      <c r="L24">
        <v>163.27980210000001</v>
      </c>
      <c r="M24">
        <v>50.171500000000002</v>
      </c>
      <c r="N24">
        <v>50.171500000000002</v>
      </c>
      <c r="O24">
        <v>51374.596799999999</v>
      </c>
      <c r="P24">
        <v>51374.596799999999</v>
      </c>
      <c r="Q24">
        <v>4.9000000000000002E-2</v>
      </c>
      <c r="R24">
        <v>2.94</v>
      </c>
      <c r="S24">
        <v>51324.425300000003</v>
      </c>
      <c r="T24">
        <v>73688.123999999996</v>
      </c>
      <c r="U24">
        <v>38609.4</v>
      </c>
      <c r="V24">
        <v>67725.2</v>
      </c>
      <c r="W24" s="9">
        <f t="shared" si="4"/>
        <v>3.1357187500000001</v>
      </c>
      <c r="X24" s="9">
        <f t="shared" si="5"/>
        <v>3210.9123</v>
      </c>
      <c r="Y24" s="10" t="s">
        <v>29</v>
      </c>
    </row>
    <row r="25" spans="1:25" customFormat="1" x14ac:dyDescent="0.4">
      <c r="A25" s="1">
        <v>46255.899224537039</v>
      </c>
      <c r="B25">
        <v>1047530.125</v>
      </c>
      <c r="C25">
        <v>1024</v>
      </c>
      <c r="D25">
        <v>16</v>
      </c>
      <c r="E25">
        <v>4</v>
      </c>
      <c r="F25">
        <v>3.7084000000000001</v>
      </c>
      <c r="G25">
        <v>0</v>
      </c>
      <c r="H25">
        <v>17753.3</v>
      </c>
      <c r="I25">
        <v>25878</v>
      </c>
      <c r="J25">
        <v>16.899999999999999</v>
      </c>
      <c r="K25">
        <v>19</v>
      </c>
      <c r="L25">
        <v>151.14545139999899</v>
      </c>
      <c r="M25">
        <v>108.3989</v>
      </c>
      <c r="N25">
        <v>108.3989</v>
      </c>
      <c r="O25">
        <v>110998.1534</v>
      </c>
      <c r="P25">
        <v>110998.1534</v>
      </c>
      <c r="Q25">
        <v>0.10589999999999999</v>
      </c>
      <c r="R25">
        <v>6.3539999999999903</v>
      </c>
      <c r="S25">
        <v>110889.7545</v>
      </c>
      <c r="T25">
        <v>59004.759700000002</v>
      </c>
      <c r="U25">
        <v>35032</v>
      </c>
      <c r="V25">
        <v>42343.3</v>
      </c>
      <c r="W25" s="9">
        <f t="shared" ref="W25" si="6">M25/16</f>
        <v>6.7749312499999998</v>
      </c>
      <c r="X25" s="9">
        <f t="shared" ref="X25" si="7">O25/16</f>
        <v>6937.3845874999997</v>
      </c>
      <c r="Y25" s="10" t="s">
        <v>29</v>
      </c>
    </row>
    <row r="26" spans="1:25" x14ac:dyDescent="0.4">
      <c r="A26" s="80"/>
    </row>
    <row r="27" spans="1:25" x14ac:dyDescent="0.4">
      <c r="A27" s="80"/>
    </row>
    <row r="28" spans="1:25" x14ac:dyDescent="0.4">
      <c r="A28" s="80"/>
    </row>
    <row r="29" spans="1:25" x14ac:dyDescent="0.4">
      <c r="A29" s="80"/>
    </row>
    <row r="30" spans="1:25" x14ac:dyDescent="0.4">
      <c r="A30" s="80"/>
    </row>
    <row r="31" spans="1:25" x14ac:dyDescent="0.4">
      <c r="A31" s="80"/>
    </row>
    <row r="32" spans="1:25" x14ac:dyDescent="0.4">
      <c r="A32" s="80"/>
    </row>
    <row r="33" spans="1:1" x14ac:dyDescent="0.4">
      <c r="A33" s="80"/>
    </row>
    <row r="34" spans="1:1" x14ac:dyDescent="0.4">
      <c r="A34" s="80"/>
    </row>
    <row r="35" spans="1:1" x14ac:dyDescent="0.4">
      <c r="A35" s="80"/>
    </row>
    <row r="36" spans="1:1" x14ac:dyDescent="0.4">
      <c r="A36" s="80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DS（1P1D）</vt:lpstr>
      <vt:lpstr>DS 混部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Yangzhihua (Yangzhihua, APP Lab)</dc:creator>
  <cp:lastModifiedBy>Luoshaohua</cp:lastModifiedBy>
  <dcterms:created xsi:type="dcterms:W3CDTF">2026-08-20T02:40:05Z</dcterms:created>
  <dcterms:modified xsi:type="dcterms:W3CDTF">2026-08-24T07:20:14Z</dcterms:modified>
</cp:coreProperties>
</file>